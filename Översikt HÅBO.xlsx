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47653-2024</t>
        </is>
      </c>
      <c r="B2" s="1" t="n">
        <v>45588</v>
      </c>
      <c r="C2" s="1" t="n">
        <v>46195</v>
      </c>
      <c r="D2" t="inlineStr">
        <is>
          <t>UPPSALA LÄN</t>
        </is>
      </c>
      <c r="E2" t="inlineStr">
        <is>
          <t>HÅBO</t>
        </is>
      </c>
      <c r="G2" t="n">
        <v>3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47653-2024 artfynd.xlsx", "A 47653-2024")</f>
        <v/>
      </c>
      <c r="T2">
        <f>HYPERLINK("https://klasma.github.io/Logging_0305/kartor/A 47653-2024 karta.png", "A 47653-2024")</f>
        <v/>
      </c>
      <c r="V2">
        <f>HYPERLINK("https://klasma.github.io/Logging_0305/klagomål/A 47653-2024 FSC-klagomål.docx", "A 47653-2024")</f>
        <v/>
      </c>
      <c r="W2">
        <f>HYPERLINK("https://klasma.github.io/Logging_0305/klagomålsmail/A 47653-2024 FSC-klagomål mail.docx", "A 47653-2024")</f>
        <v/>
      </c>
      <c r="X2">
        <f>HYPERLINK("https://klasma.github.io/Logging_0305/tillsyn/A 47653-2024 tillsynsbegäran.docx", "A 47653-2024")</f>
        <v/>
      </c>
      <c r="Y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46195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46195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46195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46195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67005-2021</t>
        </is>
      </c>
      <c r="B7" s="1" t="n">
        <v>44522</v>
      </c>
      <c r="C7" s="1" t="n">
        <v>46195</v>
      </c>
      <c r="D7" t="inlineStr">
        <is>
          <t>UPPSALA LÄN</t>
        </is>
      </c>
      <c r="E7" t="inlineStr">
        <is>
          <t>HÅBO</t>
        </is>
      </c>
      <c r="G7" t="n">
        <v>1.3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Prakttagging
Gulvit blekspik
Lönnlav</t>
        </is>
      </c>
      <c r="S7">
        <f>HYPERLINK("https://klasma.github.io/Logging_0305/artfynd/A 67005-2021 artfynd.xlsx", "A 67005-2021")</f>
        <v/>
      </c>
      <c r="T7">
        <f>HYPERLINK("https://klasma.github.io/Logging_0305/kartor/A 67005-2021 karta.png", "A 67005-2021")</f>
        <v/>
      </c>
      <c r="V7">
        <f>HYPERLINK("https://klasma.github.io/Logging_0305/klagomål/A 67005-2021 FSC-klagomål.docx", "A 67005-2021")</f>
        <v/>
      </c>
      <c r="W7">
        <f>HYPERLINK("https://klasma.github.io/Logging_0305/klagomålsmail/A 67005-2021 FSC-klagomål mail.docx", "A 67005-2021")</f>
        <v/>
      </c>
      <c r="X7">
        <f>HYPERLINK("https://klasma.github.io/Logging_0305/tillsyn/A 67005-2021 tillsynsbegäran.docx", "A 67005-2021")</f>
        <v/>
      </c>
      <c r="Y7">
        <f>HYPERLINK("https://klasma.github.io/Logging_0305/tillsynsmail/A 67005-2021 tillsynsbegäran mail.docx", "A 67005-2021")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46195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46195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46195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46195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46195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46195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12154-2023</t>
        </is>
      </c>
      <c r="B14" s="1" t="n">
        <v>44998</v>
      </c>
      <c r="C14" s="1" t="n">
        <v>46195</v>
      </c>
      <c r="D14" t="inlineStr">
        <is>
          <t>UPPSALA LÄN</t>
        </is>
      </c>
      <c r="E14" t="inlineStr">
        <is>
          <t>HÅBO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</v>
      </c>
      <c r="C15" s="1" t="n">
        <v>46195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</v>
      </c>
      <c r="C16" s="1" t="n">
        <v>46195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</v>
      </c>
      <c r="C17" s="1" t="n">
        <v>46195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46195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27484-2026</t>
        </is>
      </c>
      <c r="B19" s="1" t="n">
        <v>46185</v>
      </c>
      <c r="C19" s="1" t="n">
        <v>46195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</v>
      </c>
      <c r="C20" s="1" t="n">
        <v>46195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8486-2026</t>
        </is>
      </c>
      <c r="B21" s="1" t="n">
        <v>46064</v>
      </c>
      <c r="C21" s="1" t="n">
        <v>46195</v>
      </c>
      <c r="D21" t="inlineStr">
        <is>
          <t>UPPSALA LÄN</t>
        </is>
      </c>
      <c r="E21" t="inlineStr">
        <is>
          <t>HÅBO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46195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</v>
      </c>
      <c r="C23" s="1" t="n">
        <v>46195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46195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15607-2026</t>
        </is>
      </c>
      <c r="B25" s="1" t="n">
        <v>46106</v>
      </c>
      <c r="C25" s="1" t="n">
        <v>46195</v>
      </c>
      <c r="D25" t="inlineStr">
        <is>
          <t>UPPSALA LÄN</t>
        </is>
      </c>
      <c r="E25" t="inlineStr">
        <is>
          <t>HÅBO</t>
        </is>
      </c>
      <c r="F25" t="inlineStr">
        <is>
          <t>Övriga statliga verk och myndigheter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16404-2026</t>
        </is>
      </c>
      <c r="B26" s="1" t="n">
        <v>46111</v>
      </c>
      <c r="C26" s="1" t="n">
        <v>46195</v>
      </c>
      <c r="D26" t="inlineStr">
        <is>
          <t>UPPSALA LÄN</t>
        </is>
      </c>
      <c r="E26" t="inlineStr">
        <is>
          <t>HÅBO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16325-2026</t>
        </is>
      </c>
      <c r="B27" s="1" t="n">
        <v>46111</v>
      </c>
      <c r="C27" s="1" t="n">
        <v>46195</v>
      </c>
      <c r="D27" t="inlineStr">
        <is>
          <t>UPPSALA LÄN</t>
        </is>
      </c>
      <c r="E27" t="inlineStr">
        <is>
          <t>HÅBO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46195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45406-2025</t>
        </is>
      </c>
      <c r="B29" s="1" t="n">
        <v>45922</v>
      </c>
      <c r="C29" s="1" t="n">
        <v>46195</v>
      </c>
      <c r="D29" t="inlineStr">
        <is>
          <t>UPPSALA LÄN</t>
        </is>
      </c>
      <c r="E29" t="inlineStr">
        <is>
          <t>HÅBO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2026-06-22T00:43:43Z</dcterms:created>
  <dcterms:modified xmlns:dcterms="http://purl.org/dc/terms/" xmlns:xsi="http://www.w3.org/2001/XMLSchema-instance" xsi:type="dcterms:W3CDTF">2026-06-22T00:43:43Z</dcterms:modified>
</cp:coreProperties>
</file>