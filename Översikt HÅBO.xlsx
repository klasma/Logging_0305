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46217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47653-2024 artfynd.xlsx", "A 47653-2024")</f>
        <v/>
      </c>
      <c r="W2">
        <f>HYPERLINK("https://klasma.github.io/Logging_0305/kartor/A 47653-2024 karta.png", "A 47653-2024")</f>
        <v/>
      </c>
      <c r="Y2">
        <f>HYPERLINK("https://klasma.github.io/Logging_0305/klagomål/A 47653-2024 FSC-klagomål.docx", "A 47653-2024")</f>
        <v/>
      </c>
      <c r="Z2">
        <f>HYPERLINK("https://klasma.github.io/Logging_0305/klagomålsmail/A 47653-2024 FSC-klagomål mail.docx", "A 47653-2024")</f>
        <v/>
      </c>
      <c r="AA2">
        <f>HYPERLINK("https://klasma.github.io/Logging_0305/tillsyn/A 47653-2024 tillsynsbegäran.docx", "A 47653-2024")</f>
        <v/>
      </c>
      <c r="AB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46217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16618-2024 artfynd.xlsx", "A 16618-2024")</f>
        <v/>
      </c>
      <c r="W3">
        <f>HYPERLINK("https://klasma.github.io/Logging_0305/kartor/A 16618-2024 karta.png", "A 16618-2024")</f>
        <v/>
      </c>
      <c r="Y3">
        <f>HYPERLINK("https://klasma.github.io/Logging_0305/klagomål/A 16618-2024 FSC-klagomål.docx", "A 16618-2024")</f>
        <v/>
      </c>
      <c r="Z3">
        <f>HYPERLINK("https://klasma.github.io/Logging_0305/klagomålsmail/A 16618-2024 FSC-klagomål mail.docx", "A 16618-2024")</f>
        <v/>
      </c>
      <c r="AA3">
        <f>HYPERLINK("https://klasma.github.io/Logging_0305/tillsyn/A 16618-2024 tillsynsbegäran.docx", "A 16618-2024")</f>
        <v/>
      </c>
      <c r="AB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46217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46217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46217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46217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46217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s="2" t="inlineStr">
        <is>
          <t>Grönsångare
Tallticka
Vintertagging</t>
        </is>
      </c>
      <c r="V8">
        <f>HYPERLINK("https://klasma.github.io/Logging_0305/artfynd/A 35197-2025 artfynd.xlsx", "A 35197-2025")</f>
        <v/>
      </c>
      <c r="W8">
        <f>HYPERLINK("https://klasma.github.io/Logging_0305/kartor/A 35197-2025 karta.png", "A 35197-2025")</f>
        <v/>
      </c>
      <c r="Y8">
        <f>HYPERLINK("https://klasma.github.io/Logging_0305/klagomål/A 35197-2025 FSC-klagomål.docx", "A 35197-2025")</f>
        <v/>
      </c>
      <c r="Z8">
        <f>HYPERLINK("https://klasma.github.io/Logging_0305/klagomålsmail/A 35197-2025 FSC-klagomål mail.docx", "A 35197-2025")</f>
        <v/>
      </c>
      <c r="AA8">
        <f>HYPERLINK("https://klasma.github.io/Logging_0305/tillsyn/A 35197-2025 tillsynsbegäran.docx", "A 35197-2025")</f>
        <v/>
      </c>
      <c r="AB8">
        <f>HYPERLINK("https://klasma.github.io/Logging_0305/tillsynsmail/A 35197-2025 tillsynsbegäran mail.docx", "A 35197-2025")</f>
        <v/>
      </c>
      <c r="AC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46217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s="2" t="inlineStr">
        <is>
          <t>Knärot
Ullticka
Blåsippa</t>
        </is>
      </c>
      <c r="V9">
        <f>HYPERLINK("https://klasma.github.io/Logging_0305/artfynd/A 37417-2023 artfynd.xlsx", "A 37417-2023")</f>
        <v/>
      </c>
      <c r="W9">
        <f>HYPERLINK("https://klasma.github.io/Logging_0305/kartor/A 37417-2023 karta.png", "A 37417-2023")</f>
        <v/>
      </c>
      <c r="X9">
        <f>HYPERLINK("https://klasma.github.io/Logging_0305/knärot/A 37417-2023 karta knärot.png", "A 37417-2023")</f>
        <v/>
      </c>
      <c r="Y9">
        <f>HYPERLINK("https://klasma.github.io/Logging_0305/klagomål/A 37417-2023 FSC-klagomål.docx", "A 37417-2023")</f>
        <v/>
      </c>
      <c r="Z9">
        <f>HYPERLINK("https://klasma.github.io/Logging_0305/klagomålsmail/A 37417-2023 FSC-klagomål mail.docx", "A 37417-2023")</f>
        <v/>
      </c>
      <c r="AA9">
        <f>HYPERLINK("https://klasma.github.io/Logging_0305/tillsyn/A 37417-2023 tillsynsbegäran.docx", "A 37417-2023")</f>
        <v/>
      </c>
      <c r="AB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46217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Y10">
        <f>HYPERLINK("https://klasma.github.io/Logging_0305/klagomål/A 67005-2021 FSC-klagomål.docx", "A 67005-2021")</f>
        <v/>
      </c>
      <c r="Z10">
        <f>HYPERLINK("https://klasma.github.io/Logging_0305/klagomålsmail/A 67005-2021 FSC-klagomål mail.docx", "A 67005-2021")</f>
        <v/>
      </c>
      <c r="AA10">
        <f>HYPERLINK("https://klasma.github.io/Logging_0305/tillsyn/A 67005-2021 tillsynsbegäran.docx", "A 67005-2021")</f>
        <v/>
      </c>
      <c r="AB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46217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46217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46217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Bolmört</t>
        </is>
      </c>
      <c r="V13">
        <f>HYPERLINK("https://klasma.github.io/Logging_0305/artfynd/A 55962-2023 artfynd.xlsx", "A 55962-2023")</f>
        <v/>
      </c>
      <c r="W13">
        <f>HYPERLINK("https://klasma.github.io/Logging_0305/kartor/A 55962-2023 karta.png", "A 55962-2023")</f>
        <v/>
      </c>
      <c r="Y13">
        <f>HYPERLINK("https://klasma.github.io/Logging_0305/klagomål/A 55962-2023 FSC-klagomål.docx", "A 55962-2023")</f>
        <v/>
      </c>
      <c r="Z13">
        <f>HYPERLINK("https://klasma.github.io/Logging_0305/klagomålsmail/A 55962-2023 FSC-klagomål mail.docx", "A 55962-2023")</f>
        <v/>
      </c>
      <c r="AA13">
        <f>HYPERLINK("https://klasma.github.io/Logging_0305/tillsyn/A 55962-2023 tillsynsbegäran.docx", "A 55962-2023")</f>
        <v/>
      </c>
      <c r="AB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46217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HYPERLINK("https://klasma.github.io/Logging_0305/artfynd/A 37415-2023 artfynd.xlsx", "A 37415-2023")</f>
        <v/>
      </c>
      <c r="W14">
        <f>HYPERLINK("https://klasma.github.io/Logging_0305/kartor/A 37415-2023 karta.png", "A 37415-2023")</f>
        <v/>
      </c>
      <c r="Y14">
        <f>HYPERLINK("https://klasma.github.io/Logging_0305/klagomål/A 37415-2023 FSC-klagomål.docx", "A 37415-2023")</f>
        <v/>
      </c>
      <c r="Z14">
        <f>HYPERLINK("https://klasma.github.io/Logging_0305/klagomålsmail/A 37415-2023 FSC-klagomål mail.docx", "A 37415-2023")</f>
        <v/>
      </c>
      <c r="AA14">
        <f>HYPERLINK("https://klasma.github.io/Logging_0305/tillsyn/A 37415-2023 tillsynsbegäran.docx", "A 37415-2023")</f>
        <v/>
      </c>
      <c r="AB14">
        <f>HYPERLINK("https://klasma.github.io/Logging_0305/tillsynsmail/A 37415-2023 tillsynsbegäran mail.docx", "A 37415-2023")</f>
        <v/>
      </c>
      <c r="AC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46217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46217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35300-2025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46217</v>
      </c>
      <c r="F17" t="inlineStr">
        <is>
          <t>UPPSALA LÄN</t>
        </is>
      </c>
      <c r="G17" t="inlineStr">
        <is>
          <t>HÅBO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46217</v>
      </c>
      <c r="F18" t="inlineStr">
        <is>
          <t>UPPSALA LÄN</t>
        </is>
      </c>
      <c r="G18" t="inlineStr">
        <is>
          <t>HÅBO</t>
        </is>
      </c>
      <c r="I18" t="n">
        <v>9.1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46217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46217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27484-2026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46185</v>
      </c>
      <c r="E21" s="1" t="n">
        <v>46217</v>
      </c>
      <c r="F21" t="inlineStr">
        <is>
          <t>UPPSALA LÄN</t>
        </is>
      </c>
      <c r="G21" t="inlineStr">
        <is>
          <t>HÅBO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46217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8486-2026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46217</v>
      </c>
      <c r="F23" t="inlineStr">
        <is>
          <t>UPPSALA LÄN</t>
        </is>
      </c>
      <c r="G23" t="inlineStr">
        <is>
          <t>HÅBO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11997-2026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46085</v>
      </c>
      <c r="E24" s="1" t="n">
        <v>46217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34202-2022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44791</v>
      </c>
      <c r="E25" s="1" t="n">
        <v>46217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46217</v>
      </c>
      <c r="F26" t="inlineStr">
        <is>
          <t>UPPSALA LÄN</t>
        </is>
      </c>
      <c r="G26" t="inlineStr">
        <is>
          <t>HÅBO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46217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46217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46217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65836-2021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46217</v>
      </c>
      <c r="F30" t="inlineStr">
        <is>
          <t>UPPSALA LÄN</t>
        </is>
      </c>
      <c r="G30" t="inlineStr">
        <is>
          <t>HÅBO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46217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>
      <c r="A32" t="inlineStr">
        <is>
          <t>A 12146-2023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46217</v>
      </c>
      <c r="F32" t="inlineStr">
        <is>
          <t>UPPSALA LÄN</t>
        </is>
      </c>
      <c r="G32" t="inlineStr">
        <is>
          <t>HÅBO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2026-07-14T09:00:53Z</dcterms:created>
  <dcterms:modified xmlns:dcterms="http://purl.org/dc/terms/" xmlns:xsi="http://www.w3.org/2001/XMLSchema-instance" xsi:type="dcterms:W3CDTF">2026-07-14T09:00:53Z</dcterms:modified>
</cp:coreProperties>
</file>