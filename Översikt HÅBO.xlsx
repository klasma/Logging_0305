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46219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47653-2024 artfynd.xlsx", "A 47653-2024")</f>
        <v/>
      </c>
      <c r="W2">
        <f>HYPERLINK("https://klasma.github.io/Logging_0305/kartor/A 47653-2024 karta.png", "A 47653-2024")</f>
        <v/>
      </c>
      <c r="Y2">
        <f>HYPERLINK("https://klasma.github.io/Logging_0305/klagomål/A 47653-2024 FSC-klagomål.docx", "A 47653-2024")</f>
        <v/>
      </c>
      <c r="Z2">
        <f>HYPERLINK("https://klasma.github.io/Logging_0305/klagomålsmail/A 47653-2024 FSC-klagomål mail.docx", "A 47653-2024")</f>
        <v/>
      </c>
      <c r="AA2">
        <f>HYPERLINK("https://klasma.github.io/Logging_0305/tillsyn/A 47653-2024 tillsynsbegäran.docx", "A 47653-2024")</f>
        <v/>
      </c>
      <c r="AB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46219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16618-2024 artfynd.xlsx", "A 16618-2024")</f>
        <v/>
      </c>
      <c r="W3">
        <f>HYPERLINK("https://klasma.github.io/Logging_0305/kartor/A 16618-2024 karta.png", "A 16618-2024")</f>
        <v/>
      </c>
      <c r="Y3">
        <f>HYPERLINK("https://klasma.github.io/Logging_0305/klagomål/A 16618-2024 FSC-klagomål.docx", "A 16618-2024")</f>
        <v/>
      </c>
      <c r="Z3">
        <f>HYPERLINK("https://klasma.github.io/Logging_0305/klagomålsmail/A 16618-2024 FSC-klagomål mail.docx", "A 16618-2024")</f>
        <v/>
      </c>
      <c r="AA3">
        <f>HYPERLINK("https://klasma.github.io/Logging_0305/tillsyn/A 16618-2024 tillsynsbegäran.docx", "A 16618-2024")</f>
        <v/>
      </c>
      <c r="AB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46219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46219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46219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46219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46219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s="2" t="inlineStr">
        <is>
          <t>Knärot
Ullticka
Blåsippa</t>
        </is>
      </c>
      <c r="V8">
        <f>HYPERLINK("https://klasma.github.io/Logging_0305/artfynd/A 37417-2023 artfynd.xlsx", "A 37417-2023")</f>
        <v/>
      </c>
      <c r="W8">
        <f>HYPERLINK("https://klasma.github.io/Logging_0305/kartor/A 37417-2023 karta.png", "A 37417-2023")</f>
        <v/>
      </c>
      <c r="X8">
        <f>HYPERLINK("https://klasma.github.io/Logging_0305/knärot/A 37417-2023 karta knärot.png", "A 37417-2023")</f>
        <v/>
      </c>
      <c r="Y8">
        <f>HYPERLINK("https://klasma.github.io/Logging_0305/klagomål/A 37417-2023 FSC-klagomål.docx", "A 37417-2023")</f>
        <v/>
      </c>
      <c r="Z8">
        <f>HYPERLINK("https://klasma.github.io/Logging_0305/klagomålsmail/A 37417-2023 FSC-klagomål mail.docx", "A 37417-2023")</f>
        <v/>
      </c>
      <c r="AA8">
        <f>HYPERLINK("https://klasma.github.io/Logging_0305/tillsyn/A 37417-2023 tillsynsbegäran.docx", "A 37417-2023")</f>
        <v/>
      </c>
      <c r="AB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46219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Prakttagging
Gulvit blekspik
Lönnlav</t>
        </is>
      </c>
      <c r="V9">
        <f>HYPERLINK("https://klasma.github.io/Logging_0305/artfynd/A 67005-2021 artfynd.xlsx", "A 67005-2021")</f>
        <v/>
      </c>
      <c r="W9">
        <f>HYPERLINK("https://klasma.github.io/Logging_0305/kartor/A 67005-2021 karta.png", "A 67005-2021")</f>
        <v/>
      </c>
      <c r="Y9">
        <f>HYPERLINK("https://klasma.github.io/Logging_0305/klagomål/A 67005-2021 FSC-klagomål.docx", "A 67005-2021")</f>
        <v/>
      </c>
      <c r="Z9">
        <f>HYPERLINK("https://klasma.github.io/Logging_0305/klagomålsmail/A 67005-2021 FSC-klagomål mail.docx", "A 67005-2021")</f>
        <v/>
      </c>
      <c r="AA9">
        <f>HYPERLINK("https://klasma.github.io/Logging_0305/tillsyn/A 67005-2021 tillsynsbegäran.docx", "A 67005-2021")</f>
        <v/>
      </c>
      <c r="AB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46219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s="2" t="inlineStr">
        <is>
          <t>Grönsångare
Tallticka
Vintertagging</t>
        </is>
      </c>
      <c r="V10">
        <f>HYPERLINK("https://klasma.github.io/Logging_0305/artfynd/A 35197-2025 artfynd.xlsx", "A 35197-2025")</f>
        <v/>
      </c>
      <c r="W10">
        <f>HYPERLINK("https://klasma.github.io/Logging_0305/kartor/A 35197-2025 karta.png", "A 35197-2025")</f>
        <v/>
      </c>
      <c r="Y10">
        <f>HYPERLINK("https://klasma.github.io/Logging_0305/klagomål/A 35197-2025 FSC-klagomål.docx", "A 35197-2025")</f>
        <v/>
      </c>
      <c r="Z10">
        <f>HYPERLINK("https://klasma.github.io/Logging_0305/klagomålsmail/A 35197-2025 FSC-klagomål mail.docx", "A 35197-2025")</f>
        <v/>
      </c>
      <c r="AA10">
        <f>HYPERLINK("https://klasma.github.io/Logging_0305/tillsyn/A 35197-2025 tillsynsbegäran.docx", "A 35197-2025")</f>
        <v/>
      </c>
      <c r="AB10">
        <f>HYPERLINK("https://klasma.github.io/Logging_0305/tillsynsmail/A 35197-2025 tillsynsbegäran mail.docx", "A 35197-2025")</f>
        <v/>
      </c>
      <c r="AC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46219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46219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46219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Bolmört</t>
        </is>
      </c>
      <c r="V13">
        <f>HYPERLINK("https://klasma.github.io/Logging_0305/artfynd/A 55962-2023 artfynd.xlsx", "A 55962-2023")</f>
        <v/>
      </c>
      <c r="W13">
        <f>HYPERLINK("https://klasma.github.io/Logging_0305/kartor/A 55962-2023 karta.png", "A 55962-2023")</f>
        <v/>
      </c>
      <c r="Y13">
        <f>HYPERLINK("https://klasma.github.io/Logging_0305/klagomål/A 55962-2023 FSC-klagomål.docx", "A 55962-2023")</f>
        <v/>
      </c>
      <c r="Z13">
        <f>HYPERLINK("https://klasma.github.io/Logging_0305/klagomålsmail/A 55962-2023 FSC-klagomål mail.docx", "A 55962-2023")</f>
        <v/>
      </c>
      <c r="AA13">
        <f>HYPERLINK("https://klasma.github.io/Logging_0305/tillsyn/A 55962-2023 tillsynsbegäran.docx", "A 55962-2023")</f>
        <v/>
      </c>
      <c r="AB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46219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HYPERLINK("https://klasma.github.io/Logging_0305/artfynd/A 37415-2023 artfynd.xlsx", "A 37415-2023")</f>
        <v/>
      </c>
      <c r="W14">
        <f>HYPERLINK("https://klasma.github.io/Logging_0305/kartor/A 37415-2023 karta.png", "A 37415-2023")</f>
        <v/>
      </c>
      <c r="Y14">
        <f>HYPERLINK("https://klasma.github.io/Logging_0305/klagomål/A 37415-2023 FSC-klagomål.docx", "A 37415-2023")</f>
        <v/>
      </c>
      <c r="Z14">
        <f>HYPERLINK("https://klasma.github.io/Logging_0305/klagomålsmail/A 37415-2023 FSC-klagomål mail.docx", "A 37415-2023")</f>
        <v/>
      </c>
      <c r="AA14">
        <f>HYPERLINK("https://klasma.github.io/Logging_0305/tillsyn/A 37415-2023 tillsynsbegäran.docx", "A 37415-2023")</f>
        <v/>
      </c>
      <c r="AB14">
        <f>HYPERLINK("https://klasma.github.io/Logging_0305/tillsynsmail/A 37415-2023 tillsynsbegäran mail.docx", "A 37415-2023")</f>
        <v/>
      </c>
      <c r="AC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46219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46219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46219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46219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46219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46219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46219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34202-2022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46219</v>
      </c>
      <c r="F22" t="inlineStr">
        <is>
          <t>UPPSALA LÄN</t>
        </is>
      </c>
      <c r="G22" t="inlineStr">
        <is>
          <t>HÅBO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46219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4524-2024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46219</v>
      </c>
      <c r="F24" t="inlineStr">
        <is>
          <t>UPPSALA LÄN</t>
        </is>
      </c>
      <c r="G24" t="inlineStr">
        <is>
          <t>HÅBO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46219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46219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46219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46219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46219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46219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45406-2025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46219</v>
      </c>
      <c r="F31" t="inlineStr">
        <is>
          <t>UPPSALA LÄN</t>
        </is>
      </c>
      <c r="G31" t="inlineStr">
        <is>
          <t>HÅBO</t>
        </is>
      </c>
      <c r="I31" t="n">
        <v>9.1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46219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2026-07-16T01:26:20Z</dcterms:created>
  <dcterms:modified xmlns:dcterms="http://purl.org/dc/terms/" xmlns:xsi="http://www.w3.org/2001/XMLSchema-instance" xsi:type="dcterms:W3CDTF">2026-07-16T01:26:20Z</dcterms:modified>
</cp:coreProperties>
</file>