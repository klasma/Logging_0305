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46222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s="2" t="inlineStr">
        <is>
          <t>Prakttagging
Grå vedslidskivling
Slöjröksvamp
Backklöver
Mjölspindling
Saffransspindling
Bolmörtsskivling
Luktvaxing
Läderskål
Nästrot
Blåsippa</t>
        </is>
      </c>
      <c r="V2">
        <f>HYPERLINK("https://klasma.github.io/Logging_0305/artfynd/A 47653-2024 artfynd.xlsx", "A 47653-2024")</f>
        <v/>
      </c>
      <c r="W2">
        <f>HYPERLINK("https://klasma.github.io/Logging_0305/kartor/A 47653-2024 karta.png", "A 47653-2024")</f>
        <v/>
      </c>
      <c r="Y2">
        <f>HYPERLINK("https://klasma.github.io/Logging_0305/klagomål/A 47653-2024 FSC-klagomål.docx", "A 47653-2024")</f>
        <v/>
      </c>
      <c r="Z2">
        <f>HYPERLINK("https://klasma.github.io/Logging_0305/klagomålsmail/A 47653-2024 FSC-klagomål mail.docx", "A 47653-2024")</f>
        <v/>
      </c>
      <c r="AA2">
        <f>HYPERLINK("https://klasma.github.io/Logging_0305/tillsyn/A 47653-2024 tillsynsbegäran.docx", "A 47653-2024")</f>
        <v/>
      </c>
      <c r="AB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46222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s="2" t="inlineStr">
        <is>
          <t>Prakttagging
Grå vedslidskivling
Slöjröksvamp
Backklöver
Mjölspindling
Saffransspindling
Bolmörtsskivling
Luktvaxing
Läderskål
Nästrot
Blåsippa</t>
        </is>
      </c>
      <c r="V3">
        <f>HYPERLINK("https://klasma.github.io/Logging_0305/artfynd/A 16618-2024 artfynd.xlsx", "A 16618-2024")</f>
        <v/>
      </c>
      <c r="W3">
        <f>HYPERLINK("https://klasma.github.io/Logging_0305/kartor/A 16618-2024 karta.png", "A 16618-2024")</f>
        <v/>
      </c>
      <c r="Y3">
        <f>HYPERLINK("https://klasma.github.io/Logging_0305/klagomål/A 16618-2024 FSC-klagomål.docx", "A 16618-2024")</f>
        <v/>
      </c>
      <c r="Z3">
        <f>HYPERLINK("https://klasma.github.io/Logging_0305/klagomålsmail/A 16618-2024 FSC-klagomål mail.docx", "A 16618-2024")</f>
        <v/>
      </c>
      <c r="AA3">
        <f>HYPERLINK("https://klasma.github.io/Logging_0305/tillsyn/A 16618-2024 tillsynsbegäran.docx", "A 16618-2024")</f>
        <v/>
      </c>
      <c r="AB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s="2" t="inlineStr">
        <is>
          <t>Prakttagging
Grå vedslidskivling
Slöjröksvamp
Backklöver
Mjölspindling
Saffransspindling
Bolmörtsskivling
Luktvaxing
Läderskål
Nästrot
Blåsippa</t>
        </is>
      </c>
      <c r="V4">
        <f>HYPERLINK("https://klasma.github.io/Logging_0305/artfynd/S 4483-2024 artfynd.xlsx", "S 4483-2024")</f>
        <v/>
      </c>
      <c r="W4">
        <f>HYPERLINK("https://klasma.github.io/Logging_0305/kartor/S 4483-2024 karta.png", "S 4483-2024")</f>
        <v/>
      </c>
      <c r="Y4">
        <f>HYPERLINK("https://klasma.github.io/Logging_0305/klagomål/S 4483-2024 FSC-klagomål.docx", "S 4483-2024")</f>
        <v/>
      </c>
      <c r="Z4">
        <f>HYPERLINK("https://klasma.github.io/Logging_0305/klagomålsmail/S 4483-2024 FSC-klagomål mail.docx", "S 4483-2024")</f>
        <v/>
      </c>
      <c r="AA4">
        <f>HYPERLINK("https://klasma.github.io/Logging_0305/tillsyn/S 4483-2024 tillsynsbegäran.docx", "S 4483-2024")</f>
        <v/>
      </c>
      <c r="AB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s="2" t="inlineStr">
        <is>
          <t>Prakttagging
Skogsalm
Mindre hackspett
Rynkskinn
Tallticka
Ullticka
Blåsippa</t>
        </is>
      </c>
      <c r="V5">
        <f>HYPERLINK("https://klasma.github.io/Logging_0305/artfynd/S 3080-2022 artfynd.xlsx", "S 3080-2022")</f>
        <v/>
      </c>
      <c r="W5">
        <f>HYPERLINK("https://klasma.github.io/Logging_0305/kartor/S 3080-2022 karta.png", "S 3080-2022")</f>
        <v/>
      </c>
      <c r="Y5">
        <f>HYPERLINK("https://klasma.github.io/Logging_0305/klagomål/S 3080-2022 FSC-klagomål.docx", "S 3080-2022")</f>
        <v/>
      </c>
      <c r="Z5">
        <f>HYPERLINK("https://klasma.github.io/Logging_0305/klagomålsmail/S 3080-2022 FSC-klagomål mail.docx", "S 3080-2022")</f>
        <v/>
      </c>
      <c r="AA5">
        <f>HYPERLINK("https://klasma.github.io/Logging_0305/tillsyn/S 3080-2022 tillsynsbegäran.docx", "S 3080-2022")</f>
        <v/>
      </c>
      <c r="AB5">
        <f>HYPERLINK("https://klasma.github.io/Logging_0305/tillsynsmail/S 3080-2022 tillsynsbegäran mail.docx", "S 3080-2022")</f>
        <v/>
      </c>
      <c r="AC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s="2" t="inlineStr">
        <is>
          <t>Backsippa
Axveronika
Backtimjan
Flentimotej
Sminkrot
Vårärt</t>
        </is>
      </c>
      <c r="V6">
        <f>HYPERLINK("https://klasma.github.io/Logging_0305/artfynd/A 22010-2025 artfynd.xlsx", "A 22010-2025")</f>
        <v/>
      </c>
      <c r="W6">
        <f>HYPERLINK("https://klasma.github.io/Logging_0305/kartor/A 22010-2025 karta.png", "A 22010-2025")</f>
        <v/>
      </c>
      <c r="Y6">
        <f>HYPERLINK("https://klasma.github.io/Logging_0305/klagomål/A 22010-2025 FSC-klagomål.docx", "A 22010-2025")</f>
        <v/>
      </c>
      <c r="Z6">
        <f>HYPERLINK("https://klasma.github.io/Logging_0305/klagomålsmail/A 22010-2025 FSC-klagomål mail.docx", "A 22010-2025")</f>
        <v/>
      </c>
      <c r="AA6">
        <f>HYPERLINK("https://klasma.github.io/Logging_0305/tillsyn/A 22010-2025 tillsynsbegäran.docx", "A 22010-2025")</f>
        <v/>
      </c>
      <c r="AB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Ask
Fjällig taggsvamp s.str.
Talltita
Bronshjon
Lönnlav</t>
        </is>
      </c>
      <c r="V7">
        <f>HYPERLINK("https://klasma.github.io/Logging_0305/artfynd/A 4521-2024 artfynd.xlsx", "A 4521-2024")</f>
        <v/>
      </c>
      <c r="W7">
        <f>HYPERLINK("https://klasma.github.io/Logging_0305/kartor/A 4521-2024 karta.png", "A 4521-2024")</f>
        <v/>
      </c>
      <c r="Y7">
        <f>HYPERLINK("https://klasma.github.io/Logging_0305/klagomål/A 4521-2024 FSC-klagomål.docx", "A 4521-2024")</f>
        <v/>
      </c>
      <c r="Z7">
        <f>HYPERLINK("https://klasma.github.io/Logging_0305/klagomålsmail/A 4521-2024 FSC-klagomål mail.docx", "A 4521-2024")</f>
        <v/>
      </c>
      <c r="AA7">
        <f>HYPERLINK("https://klasma.github.io/Logging_0305/tillsyn/A 4521-2024 tillsynsbegäran.docx", "A 4521-2024")</f>
        <v/>
      </c>
      <c r="AB7">
        <f>HYPERLINK("https://klasma.github.io/Logging_0305/tillsynsmail/A 4521-2024 tillsynsbegäran mail.docx", "A 4521-2024")</f>
        <v/>
      </c>
      <c r="AC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46222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s="2" t="inlineStr">
        <is>
          <t>Grönsångare
Tallticka
Vintertagging</t>
        </is>
      </c>
      <c r="V8">
        <f>HYPERLINK("https://klasma.github.io/Logging_0305/artfynd/A 35197-2025 artfynd.xlsx", "A 35197-2025")</f>
        <v/>
      </c>
      <c r="W8">
        <f>HYPERLINK("https://klasma.github.io/Logging_0305/kartor/A 35197-2025 karta.png", "A 35197-2025")</f>
        <v/>
      </c>
      <c r="Y8">
        <f>HYPERLINK("https://klasma.github.io/Logging_0305/klagomål/A 35197-2025 FSC-klagomål.docx", "A 35197-2025")</f>
        <v/>
      </c>
      <c r="Z8">
        <f>HYPERLINK("https://klasma.github.io/Logging_0305/klagomålsmail/A 35197-2025 FSC-klagomål mail.docx", "A 35197-2025")</f>
        <v/>
      </c>
      <c r="AA8">
        <f>HYPERLINK("https://klasma.github.io/Logging_0305/tillsyn/A 35197-2025 tillsynsbegäran.docx", "A 35197-2025")</f>
        <v/>
      </c>
      <c r="AB8">
        <f>HYPERLINK("https://klasma.github.io/Logging_0305/tillsynsmail/A 35197-2025 tillsynsbegäran mail.docx", "A 35197-2025")</f>
        <v/>
      </c>
      <c r="AC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46222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s="2" t="inlineStr">
        <is>
          <t>Knärot
Ullticka
Blåsippa</t>
        </is>
      </c>
      <c r="V9">
        <f>HYPERLINK("https://klasma.github.io/Logging_0305/artfynd/A 37417-2023 artfynd.xlsx", "A 37417-2023")</f>
        <v/>
      </c>
      <c r="W9">
        <f>HYPERLINK("https://klasma.github.io/Logging_0305/kartor/A 37417-2023 karta.png", "A 37417-2023")</f>
        <v/>
      </c>
      <c r="X9">
        <f>HYPERLINK("https://klasma.github.io/Logging_0305/knärot/A 37417-2023 karta knärot.png", "A 37417-2023")</f>
        <v/>
      </c>
      <c r="Y9">
        <f>HYPERLINK("https://klasma.github.io/Logging_0305/klagomål/A 37417-2023 FSC-klagomål.docx", "A 37417-2023")</f>
        <v/>
      </c>
      <c r="Z9">
        <f>HYPERLINK("https://klasma.github.io/Logging_0305/klagomålsmail/A 37417-2023 FSC-klagomål mail.docx", "A 37417-2023")</f>
        <v/>
      </c>
      <c r="AA9">
        <f>HYPERLINK("https://klasma.github.io/Logging_0305/tillsyn/A 37417-2023 tillsynsbegäran.docx", "A 37417-2023")</f>
        <v/>
      </c>
      <c r="AB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Prakttagging
Gulvit blekspik
Lönnlav</t>
        </is>
      </c>
      <c r="V10">
        <f>HYPERLINK("https://klasma.github.io/Logging_0305/artfynd/A 67005-2021 artfynd.xlsx", "A 67005-2021")</f>
        <v/>
      </c>
      <c r="W10">
        <f>HYPERLINK("https://klasma.github.io/Logging_0305/kartor/A 67005-2021 karta.png", "A 67005-2021")</f>
        <v/>
      </c>
      <c r="Y10">
        <f>HYPERLINK("https://klasma.github.io/Logging_0305/klagomål/A 67005-2021 FSC-klagomål.docx", "A 67005-2021")</f>
        <v/>
      </c>
      <c r="Z10">
        <f>HYPERLINK("https://klasma.github.io/Logging_0305/klagomålsmail/A 67005-2021 FSC-klagomål mail.docx", "A 67005-2021")</f>
        <v/>
      </c>
      <c r="AA10">
        <f>HYPERLINK("https://klasma.github.io/Logging_0305/tillsyn/A 67005-2021 tillsynsbegäran.docx", "A 67005-2021")</f>
        <v/>
      </c>
      <c r="AB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 dropplav
Strimspindling</t>
        </is>
      </c>
      <c r="V11">
        <f>HYPERLINK("https://klasma.github.io/Logging_0305/artfynd/A 47425-2022 artfynd.xlsx", "A 47425-2022")</f>
        <v/>
      </c>
      <c r="W11">
        <f>HYPERLINK("https://klasma.github.io/Logging_0305/kartor/A 47425-2022 karta.png", "A 47425-2022")</f>
        <v/>
      </c>
      <c r="Y11">
        <f>HYPERLINK("https://klasma.github.io/Logging_0305/klagomål/A 47425-2022 FSC-klagomål.docx", "A 47425-2022")</f>
        <v/>
      </c>
      <c r="Z11">
        <f>HYPERLINK("https://klasma.github.io/Logging_0305/klagomålsmail/A 47425-2022 FSC-klagomål mail.docx", "A 47425-2022")</f>
        <v/>
      </c>
      <c r="AA11">
        <f>HYPERLINK("https://klasma.github.io/Logging_0305/tillsyn/A 47425-2022 tillsynsbegäran.docx", "A 47425-2022")</f>
        <v/>
      </c>
      <c r="AB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Rynkskinn</t>
        </is>
      </c>
      <c r="V12">
        <f>HYPERLINK("https://klasma.github.io/Logging_0305/artfynd/A 23250-2022 artfynd.xlsx", "A 23250-2022")</f>
        <v/>
      </c>
      <c r="W12">
        <f>HYPERLINK("https://klasma.github.io/Logging_0305/kartor/A 23250-2022 karta.png", "A 23250-2022")</f>
        <v/>
      </c>
      <c r="Y12">
        <f>HYPERLINK("https://klasma.github.io/Logging_0305/klagomål/A 23250-2022 FSC-klagomål.docx", "A 23250-2022")</f>
        <v/>
      </c>
      <c r="Z12">
        <f>HYPERLINK("https://klasma.github.io/Logging_0305/klagomålsmail/A 23250-2022 FSC-klagomål mail.docx", "A 23250-2022")</f>
        <v/>
      </c>
      <c r="AA12">
        <f>HYPERLINK("https://klasma.github.io/Logging_0305/tillsyn/A 23250-2022 tillsynsbegäran.docx", "A 23250-2022")</f>
        <v/>
      </c>
      <c r="AB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46222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Bolmört</t>
        </is>
      </c>
      <c r="V13">
        <f>HYPERLINK("https://klasma.github.io/Logging_0305/artfynd/A 55962-2023 artfynd.xlsx", "A 55962-2023")</f>
        <v/>
      </c>
      <c r="W13">
        <f>HYPERLINK("https://klasma.github.io/Logging_0305/kartor/A 55962-2023 karta.png", "A 55962-2023")</f>
        <v/>
      </c>
      <c r="Y13">
        <f>HYPERLINK("https://klasma.github.io/Logging_0305/klagomål/A 55962-2023 FSC-klagomål.docx", "A 55962-2023")</f>
        <v/>
      </c>
      <c r="Z13">
        <f>HYPERLINK("https://klasma.github.io/Logging_0305/klagomålsmail/A 55962-2023 FSC-klagomål mail.docx", "A 55962-2023")</f>
        <v/>
      </c>
      <c r="AA13">
        <f>HYPERLINK("https://klasma.github.io/Logging_0305/tillsyn/A 55962-2023 tillsynsbegäran.docx", "A 55962-2023")</f>
        <v/>
      </c>
      <c r="AB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46222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Spillkråka</t>
        </is>
      </c>
      <c r="V14">
        <f>HYPERLINK("https://klasma.github.io/Logging_0305/artfynd/A 37415-2023 artfynd.xlsx", "A 37415-2023")</f>
        <v/>
      </c>
      <c r="W14">
        <f>HYPERLINK("https://klasma.github.io/Logging_0305/kartor/A 37415-2023 karta.png", "A 37415-2023")</f>
        <v/>
      </c>
      <c r="Y14">
        <f>HYPERLINK("https://klasma.github.io/Logging_0305/klagomål/A 37415-2023 FSC-klagomål.docx", "A 37415-2023")</f>
        <v/>
      </c>
      <c r="Z14">
        <f>HYPERLINK("https://klasma.github.io/Logging_0305/klagomålsmail/A 37415-2023 FSC-klagomål mail.docx", "A 37415-2023")</f>
        <v/>
      </c>
      <c r="AA14">
        <f>HYPERLINK("https://klasma.github.io/Logging_0305/tillsyn/A 37415-2023 tillsynsbegäran.docx", "A 37415-2023")</f>
        <v/>
      </c>
      <c r="AB14">
        <f>HYPERLINK("https://klasma.github.io/Logging_0305/tillsynsmail/A 37415-2023 tillsynsbegäran mail.docx", "A 37415-2023")</f>
        <v/>
      </c>
      <c r="AC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46222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Bombmurkla</t>
        </is>
      </c>
      <c r="V15">
        <f>HYPERLINK("https://klasma.github.io/Logging_0305/artfynd/S 3579-2023 artfynd.xlsx", "S 3579-2023")</f>
        <v/>
      </c>
      <c r="W15">
        <f>HYPERLINK("https://klasma.github.io/Logging_0305/kartor/S 3579-2023 karta.png", "S 3579-2023")</f>
        <v/>
      </c>
      <c r="Y15">
        <f>HYPERLINK("https://klasma.github.io/Logging_0305/klagomål/S 3579-2023 FSC-klagomål.docx", "S 3579-2023")</f>
        <v/>
      </c>
      <c r="Z15">
        <f>HYPERLINK("https://klasma.github.io/Logging_0305/klagomålsmail/S 3579-2023 FSC-klagomål mail.docx", "S 3579-2023")</f>
        <v/>
      </c>
      <c r="AA15">
        <f>HYPERLINK("https://klasma.github.io/Logging_0305/tillsyn/S 3579-2023 tillsynsbegäran.docx", "S 3579-2023")</f>
        <v/>
      </c>
      <c r="AB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46222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46222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46222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46222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46222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46222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46222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37410-2023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45155</v>
      </c>
      <c r="E24" s="1" t="n">
        <v>46222</v>
      </c>
      <c r="F24" t="inlineStr">
        <is>
          <t>UPPSALA LÄN</t>
        </is>
      </c>
      <c r="G24" t="inlineStr">
        <is>
          <t>HÅBO</t>
        </is>
      </c>
      <c r="I24" t="n">
        <v>20.9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46222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46222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46222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46222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46222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46222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46222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2026-07-19T01:32:09Z</dcterms:created>
  <dcterms:modified xmlns:dcterms="http://purl.org/dc/terms/" xmlns:xsi="http://www.w3.org/2001/XMLSchema-instance" xsi:type="dcterms:W3CDTF">2026-07-19T01:32:09Z</dcterms:modified>
</cp:coreProperties>
</file>