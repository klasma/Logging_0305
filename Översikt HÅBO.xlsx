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45880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45880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45880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45880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45880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7946-2021</t>
        </is>
      </c>
      <c r="B7" s="1" t="n">
        <v>44242</v>
      </c>
      <c r="C7" s="1" t="n">
        <v>45880</v>
      </c>
      <c r="D7" t="inlineStr">
        <is>
          <t>UPPSALA LÄN</t>
        </is>
      </c>
      <c r="E7" t="inlineStr">
        <is>
          <t>HÅBO</t>
        </is>
      </c>
      <c r="G7" t="n">
        <v>6.7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HYPERLINK("https://klasma.github.io/Logging_0305/artfynd/A 7946-2021 artfynd.xlsx", "A 7946-2021")</f>
        <v/>
      </c>
      <c r="T7">
        <f>HYPERLINK("https://klasma.github.io/Logging_0305/kartor/A 7946-2021 karta.png", "A 7946-2021")</f>
        <v/>
      </c>
      <c r="V7">
        <f>HYPERLINK("https://klasma.github.io/Logging_0305/klagomål/A 7946-2021 FSC-klagomål.docx", "A 7946-2021")</f>
        <v/>
      </c>
      <c r="W7">
        <f>HYPERLINK("https://klasma.github.io/Logging_0305/klagomålsmail/A 7946-2021 FSC-klagomål mail.docx", "A 7946-2021")</f>
        <v/>
      </c>
      <c r="X7">
        <f>HYPERLINK("https://klasma.github.io/Logging_0305/tillsyn/A 7946-2021 tillsynsbegäran.docx", "A 7946-2021")</f>
        <v/>
      </c>
      <c r="Y7">
        <f>HYPERLINK("https://klasma.github.io/Logging_0305/tillsynsmail/A 7946-2021 tillsynsbegäran mail.docx", "A 7946-2021")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45880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45880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45880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2471-2021</t>
        </is>
      </c>
      <c r="B11" s="1" t="n">
        <v>44214</v>
      </c>
      <c r="C11" s="1" t="n">
        <v>45880</v>
      </c>
      <c r="D11" t="inlineStr">
        <is>
          <t>UPPSALA LÄN</t>
        </is>
      </c>
      <c r="E11" t="inlineStr">
        <is>
          <t>HÅBO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54890-2021</t>
        </is>
      </c>
      <c r="B12" s="1" t="n">
        <v>44473</v>
      </c>
      <c r="C12" s="1" t="n">
        <v>45880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12146-2023</t>
        </is>
      </c>
      <c r="B13" s="1" t="n">
        <v>44998.47842592592</v>
      </c>
      <c r="C13" s="1" t="n">
        <v>45880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19274-2025</t>
        </is>
      </c>
      <c r="B14" s="1" t="n">
        <v>45769.52533564815</v>
      </c>
      <c r="C14" s="1" t="n">
        <v>45880</v>
      </c>
      <c r="D14" t="inlineStr">
        <is>
          <t>UPPSALA LÄN</t>
        </is>
      </c>
      <c r="E14" t="inlineStr">
        <is>
          <t>HÅBO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11989-2025</t>
        </is>
      </c>
      <c r="B15" s="1" t="n">
        <v>45728.60074074074</v>
      </c>
      <c r="C15" s="1" t="n">
        <v>45880</v>
      </c>
      <c r="D15" t="inlineStr">
        <is>
          <t>UPPSALA LÄN</t>
        </is>
      </c>
      <c r="E15" t="inlineStr">
        <is>
          <t>HÅBO</t>
        </is>
      </c>
      <c r="G15" t="n">
        <v>9.6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55962-2023</t>
        </is>
      </c>
      <c r="B16" s="1" t="n">
        <v>45240</v>
      </c>
      <c r="C16" s="1" t="n">
        <v>45880</v>
      </c>
      <c r="D16" t="inlineStr">
        <is>
          <t>UPPSALA LÄN</t>
        </is>
      </c>
      <c r="E16" t="inlineStr">
        <is>
          <t>HÅBO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4521-2024</t>
        </is>
      </c>
      <c r="B17" s="1" t="n">
        <v>45327</v>
      </c>
      <c r="C17" s="1" t="n">
        <v>45880</v>
      </c>
      <c r="D17" t="inlineStr">
        <is>
          <t>UPPSALA LÄN</t>
        </is>
      </c>
      <c r="E17" t="inlineStr">
        <is>
          <t>HÅBO</t>
        </is>
      </c>
      <c r="G17" t="n">
        <v>17.4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14806-2025</t>
        </is>
      </c>
      <c r="B18" s="1" t="n">
        <v>45743.32039351852</v>
      </c>
      <c r="C18" s="1" t="n">
        <v>45880</v>
      </c>
      <c r="D18" t="inlineStr">
        <is>
          <t>UPPSALA LÄN</t>
        </is>
      </c>
      <c r="E18" t="inlineStr">
        <is>
          <t>HÅBO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37410-2023</t>
        </is>
      </c>
      <c r="B19" s="1" t="n">
        <v>45155</v>
      </c>
      <c r="C19" s="1" t="n">
        <v>45880</v>
      </c>
      <c r="D19" t="inlineStr">
        <is>
          <t>UPPSALA LÄN</t>
        </is>
      </c>
      <c r="E19" t="inlineStr">
        <is>
          <t>HÅBO</t>
        </is>
      </c>
      <c r="G19" t="n">
        <v>20.9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22524-2025</t>
        </is>
      </c>
      <c r="B20" s="1" t="n">
        <v>45786.7316087963</v>
      </c>
      <c r="C20" s="1" t="n">
        <v>45880</v>
      </c>
      <c r="D20" t="inlineStr">
        <is>
          <t>UPPSALA LÄN</t>
        </is>
      </c>
      <c r="E20" t="inlineStr">
        <is>
          <t>HÅBO</t>
        </is>
      </c>
      <c r="F20" t="inlineStr">
        <is>
          <t>Kyrkan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67005-2021</t>
        </is>
      </c>
      <c r="B21" s="1" t="n">
        <v>44522</v>
      </c>
      <c r="C21" s="1" t="n">
        <v>45880</v>
      </c>
      <c r="D21" t="inlineStr">
        <is>
          <t>UPPSALA LÄN</t>
        </is>
      </c>
      <c r="E21" t="inlineStr">
        <is>
          <t>HÅBO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22525-2025</t>
        </is>
      </c>
      <c r="B22" s="1" t="n">
        <v>45786.7617824074</v>
      </c>
      <c r="C22" s="1" t="n">
        <v>45880</v>
      </c>
      <c r="D22" t="inlineStr">
        <is>
          <t>UPPSALA LÄN</t>
        </is>
      </c>
      <c r="E22" t="inlineStr">
        <is>
          <t>HÅBO</t>
        </is>
      </c>
      <c r="F22" t="inlineStr">
        <is>
          <t>Kyrkan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23370-2025</t>
        </is>
      </c>
      <c r="B23" s="1" t="n">
        <v>45791.70907407408</v>
      </c>
      <c r="C23" s="1" t="n">
        <v>45880</v>
      </c>
      <c r="D23" t="inlineStr">
        <is>
          <t>UPPSALA LÄN</t>
        </is>
      </c>
      <c r="E23" t="inlineStr">
        <is>
          <t>HÅBO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12156-2023</t>
        </is>
      </c>
      <c r="B24" s="1" t="n">
        <v>44998.49157407408</v>
      </c>
      <c r="C24" s="1" t="n">
        <v>45880</v>
      </c>
      <c r="D24" t="inlineStr">
        <is>
          <t>UPPSALA LÄN</t>
        </is>
      </c>
      <c r="E24" t="inlineStr">
        <is>
          <t>HÅBO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32023-2023</t>
        </is>
      </c>
      <c r="B25" s="1" t="n">
        <v>45119.49833333334</v>
      </c>
      <c r="C25" s="1" t="n">
        <v>45880</v>
      </c>
      <c r="D25" t="inlineStr">
        <is>
          <t>UPPSALA LÄN</t>
        </is>
      </c>
      <c r="E25" t="inlineStr">
        <is>
          <t>HÅBO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34202-2022</t>
        </is>
      </c>
      <c r="B26" s="1" t="n">
        <v>44791.64837962963</v>
      </c>
      <c r="C26" s="1" t="n">
        <v>45880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35300-2025</t>
        </is>
      </c>
      <c r="B27" s="1" t="n">
        <v>45854.41511574074</v>
      </c>
      <c r="C27" s="1" t="n">
        <v>45880</v>
      </c>
      <c r="D27" t="inlineStr">
        <is>
          <t>UPPSALA LÄN</t>
        </is>
      </c>
      <c r="E27" t="inlineStr">
        <is>
          <t>HÅBO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35198-2025</t>
        </is>
      </c>
      <c r="B28" s="1" t="n">
        <v>45853</v>
      </c>
      <c r="C28" s="1" t="n">
        <v>45880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35193-2025</t>
        </is>
      </c>
      <c r="B29" s="1" t="n">
        <v>45853</v>
      </c>
      <c r="C29" s="1" t="n">
        <v>45880</v>
      </c>
      <c r="D29" t="inlineStr">
        <is>
          <t>UPPSALA LÄN</t>
        </is>
      </c>
      <c r="E29" t="inlineStr">
        <is>
          <t>HÅBO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23250-2022</t>
        </is>
      </c>
      <c r="B30" s="1" t="n">
        <v>44719</v>
      </c>
      <c r="C30" s="1" t="n">
        <v>45880</v>
      </c>
      <c r="D30" t="inlineStr">
        <is>
          <t>UPPSALA LÄN</t>
        </is>
      </c>
      <c r="E30" t="inlineStr">
        <is>
          <t>HÅBO</t>
        </is>
      </c>
      <c r="F30" t="inlineStr">
        <is>
          <t>Naturvårdsverket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4524-2024</t>
        </is>
      </c>
      <c r="B31" s="1" t="n">
        <v>45327</v>
      </c>
      <c r="C31" s="1" t="n">
        <v>45880</v>
      </c>
      <c r="D31" t="inlineStr">
        <is>
          <t>UPPSALA LÄN</t>
        </is>
      </c>
      <c r="E31" t="inlineStr">
        <is>
          <t>HÅBO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15732-2025</t>
        </is>
      </c>
      <c r="B32" s="1" t="n">
        <v>45747</v>
      </c>
      <c r="C32" s="1" t="n">
        <v>45880</v>
      </c>
      <c r="D32" t="inlineStr">
        <is>
          <t>UPPSALA LÄN</t>
        </is>
      </c>
      <c r="E32" t="inlineStr">
        <is>
          <t>HÅBO</t>
        </is>
      </c>
      <c r="F32" t="inlineStr">
        <is>
          <t>Kyrkan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65836-2021</t>
        </is>
      </c>
      <c r="B33" s="1" t="n">
        <v>44517</v>
      </c>
      <c r="C33" s="1" t="n">
        <v>45880</v>
      </c>
      <c r="D33" t="inlineStr">
        <is>
          <t>UPPSALA LÄN</t>
        </is>
      </c>
      <c r="E33" t="inlineStr">
        <is>
          <t>HÅBO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12154-2023</t>
        </is>
      </c>
      <c r="B34" s="1" t="n">
        <v>44998</v>
      </c>
      <c r="C34" s="1" t="n">
        <v>45880</v>
      </c>
      <c r="D34" t="inlineStr">
        <is>
          <t>UPPSALA LÄN</t>
        </is>
      </c>
      <c r="E34" t="inlineStr">
        <is>
          <t>HÅBO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37415-2023</t>
        </is>
      </c>
      <c r="B35" s="1" t="n">
        <v>45155</v>
      </c>
      <c r="C35" s="1" t="n">
        <v>45880</v>
      </c>
      <c r="D35" t="inlineStr">
        <is>
          <t>UPPSALA LÄN</t>
        </is>
      </c>
      <c r="E35" t="inlineStr">
        <is>
          <t>HÅBO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2025-08-11T08:28:09Z</dcterms:created>
  <dcterms:modified xmlns:dcterms="http://purl.org/dc/terms/" xmlns:xsi="http://www.w3.org/2001/XMLSchema-instance" xsi:type="dcterms:W3CDTF">2025-08-11T08:28:09Z</dcterms:modified>
</cp:coreProperties>
</file>