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46306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46306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46306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46306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46306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46306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46306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46306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46306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36934-2026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46273</v>
      </c>
      <c r="E11" s="1" t="n">
        <v>46306</v>
      </c>
      <c r="F11" t="inlineStr">
        <is>
          <t>UPPSALA LÄN</t>
        </is>
      </c>
      <c r="G11" t="inlineStr">
        <is>
          <t>HÅBO</t>
        </is>
      </c>
      <c r="H11" t="inlineStr">
        <is>
          <t>Kyrkan</t>
        </is>
      </c>
      <c r="I11" t="n">
        <v>2.6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Bronshjon
Stubbspretmossa
Kransmossa</t>
        </is>
      </c>
      <c r="W11">
        <f>HYPERLINK("https://klasma.github.io/Logging_0305/artfynd/A 36934-2026 artfynd.xlsx", "A 36934-2026")</f>
        <v/>
      </c>
      <c r="X11">
        <f>HYPERLINK("https://klasma.github.io/Logging_0305/kartor/A 36934-2026 karta.png", "A 36934-2026")</f>
        <v/>
      </c>
      <c r="Y11">
        <f>HYPERLINK("https://klasma.github.io/Logging_0305/kartor_geotiff/A 36934-2026 georefererad karta.tif", "A 36934-2026")</f>
        <v/>
      </c>
      <c r="AA11">
        <f>HYPERLINK("https://klasma.github.io/Logging_0305/klagomål/A 36934-2026 FSC-klagomål.docx", "A 36934-2026")</f>
        <v/>
      </c>
      <c r="AB11">
        <f>HYPERLINK("https://klasma.github.io/Logging_0305/klagomålsmail/A 36934-2026 FSC-klagomål mail.docx", "A 36934-2026")</f>
        <v/>
      </c>
      <c r="AC11">
        <f>HYPERLINK("https://klasma.github.io/Logging_0305/tillsyn/A 36934-2026 tillsynsbegäran.docx", "A 36934-2026")</f>
        <v/>
      </c>
      <c r="AD11">
        <f>HYPERLINK("https://klasma.github.io/Logging_0305/tillsynsmail/A 36934-2026 tillsynsbegäran mail.docx", "A 36934-2026")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46306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46306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46306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46306</v>
      </c>
      <c r="F15" t="inlineStr">
        <is>
          <t>UPPSALA LÄN</t>
        </is>
      </c>
      <c r="G15" t="inlineStr">
        <is>
          <t>HÅBO</t>
        </is>
      </c>
      <c r="I15" t="n">
        <v>6.6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HYPERLINK("https://klasma.github.io/Logging_0305/artfynd/A 37415-2023 artfynd.xlsx", "A 37415-2023")</f>
        <v/>
      </c>
      <c r="X15">
        <f>HYPERLINK("https://klasma.github.io/Logging_0305/kartor/A 37415-2023 karta.png", "A 37415-2023")</f>
        <v/>
      </c>
      <c r="Y15">
        <f>HYPERLINK("https://klasma.github.io/Logging_0305/kartor_geotiff/A 37415-2023 georefererad karta.tif", "A 37415-2023")</f>
        <v/>
      </c>
      <c r="AA15">
        <f>HYPERLINK("https://klasma.github.io/Logging_0305/klagomål/A 37415-2023 FSC-klagomål.docx", "A 37415-2023")</f>
        <v/>
      </c>
      <c r="AB15">
        <f>HYPERLINK("https://klasma.github.io/Logging_0305/klagomålsmail/A 37415-2023 FSC-klagomål mail.docx", "A 37415-2023")</f>
        <v/>
      </c>
      <c r="AC15">
        <f>HYPERLINK("https://klasma.github.io/Logging_0305/tillsyn/A 37415-2023 tillsynsbegäran.docx", "A 37415-2023")</f>
        <v/>
      </c>
      <c r="AD15">
        <f>HYPERLINK("https://klasma.github.io/Logging_0305/tillsynsmail/A 37415-2023 tillsynsbegäran mail.docx", "A 37415-2023")</f>
        <v/>
      </c>
      <c r="AE15">
        <f>HYPERLINK("https://klasma.github.io/Logging_0305/fåglar/A 37415-2023 prioriterade fågelarter.docx", "A 37415-2023")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46306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46306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46306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37410-2023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45155</v>
      </c>
      <c r="E19" s="1" t="n">
        <v>46306</v>
      </c>
      <c r="F19" t="inlineStr">
        <is>
          <t>UPPSALA LÄN</t>
        </is>
      </c>
      <c r="G19" t="inlineStr">
        <is>
          <t>HÅBO</t>
        </is>
      </c>
      <c r="I19" t="n">
        <v>20.9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12156-2023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46306</v>
      </c>
      <c r="F20" t="inlineStr">
        <is>
          <t>UPPSALA LÄN</t>
        </is>
      </c>
      <c r="G20" t="inlineStr">
        <is>
          <t>HÅBO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32023-2023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46306</v>
      </c>
      <c r="F21" t="inlineStr">
        <is>
          <t>UPPSALA LÄN</t>
        </is>
      </c>
      <c r="G21" t="inlineStr">
        <is>
          <t>HÅBO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34202-2022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46306</v>
      </c>
      <c r="F22" t="inlineStr">
        <is>
          <t>UPPSALA LÄN</t>
        </is>
      </c>
      <c r="G22" t="inlineStr">
        <is>
          <t>HÅBO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4524-2024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46306</v>
      </c>
      <c r="F23" t="inlineStr">
        <is>
          <t>UPPSALA LÄN</t>
        </is>
      </c>
      <c r="G23" t="inlineStr">
        <is>
          <t>HÅBO</t>
        </is>
      </c>
      <c r="I23" t="n">
        <v>4.6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46306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46306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46306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46306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46306</v>
      </c>
      <c r="F28" t="inlineStr">
        <is>
          <t>UPPSALA LÄN</t>
        </is>
      </c>
      <c r="G28" t="inlineStr">
        <is>
          <t>HÅBO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45854</v>
      </c>
      <c r="E29" s="1" t="n">
        <v>46306</v>
      </c>
      <c r="F29" t="inlineStr">
        <is>
          <t>UPPSALA LÄN</t>
        </is>
      </c>
      <c r="G29" t="inlineStr">
        <is>
          <t>HÅBO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46064</v>
      </c>
      <c r="E30" s="1" t="n">
        <v>46306</v>
      </c>
      <c r="F30" t="inlineStr">
        <is>
          <t>UPPSALA LÄN</t>
        </is>
      </c>
      <c r="G30" t="inlineStr">
        <is>
          <t>HÅBO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11997-2026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46085</v>
      </c>
      <c r="E31" s="1" t="n">
        <v>46306</v>
      </c>
      <c r="F31" t="inlineStr">
        <is>
          <t>UPPSALA LÄN</t>
        </is>
      </c>
      <c r="G31" t="inlineStr">
        <is>
          <t>HÅBO</t>
        </is>
      </c>
      <c r="H31" t="inlineStr">
        <is>
          <t>Övriga statliga verk och myndigheter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27484-2026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46306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2026-10-11T02:01:26Z</dcterms:created>
  <dcterms:modified xmlns:dcterms="http://purl.org/dc/terms/" xmlns:xsi="http://www.w3.org/2001/XMLSchema-instance" xsi:type="dcterms:W3CDTF">2026-10-11T02:01:26Z</dcterms:modified>
</cp:coreProperties>
</file>