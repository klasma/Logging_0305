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47653-2024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45588</v>
      </c>
      <c r="E2" s="1" t="n">
        <v>46315</v>
      </c>
      <c r="F2" t="inlineStr">
        <is>
          <t>UPPSALA LÄN</t>
        </is>
      </c>
      <c r="G2" t="inlineStr">
        <is>
          <t>HÅBO</t>
        </is>
      </c>
      <c r="I2" t="n">
        <v>3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22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47653-2024 artfynd.xlsx", "A 47653-2024")</f>
        <v/>
      </c>
      <c r="X2">
        <f>HYPERLINK("https://klasma.github.io/Logging_0305/kartor/A 47653-2024 karta.png", "A 47653-2024")</f>
        <v/>
      </c>
      <c r="Y2">
        <f>HYPERLINK("https://klasma.github.io/Logging_0305/kartor_geotiff/A 47653-2024 georefererad karta.tif", "A 47653-2024")</f>
        <v/>
      </c>
      <c r="AA2">
        <f>HYPERLINK("https://klasma.github.io/Logging_0305/klagomål/A 47653-2024 FSC-klagomål.docx", "A 47653-2024")</f>
        <v/>
      </c>
      <c r="AB2">
        <f>HYPERLINK("https://klasma.github.io/Logging_0305/klagomålsmail/A 47653-2024 FSC-klagomål mail.docx", "A 47653-2024")</f>
        <v/>
      </c>
      <c r="AC2">
        <f>HYPERLINK("https://klasma.github.io/Logging_0305/tillsyn/A 47653-2024 tillsynsbegäran.docx", "A 47653-2024")</f>
        <v/>
      </c>
      <c r="AD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45408</v>
      </c>
      <c r="E3" s="1" t="n">
        <v>46315</v>
      </c>
      <c r="F3" t="inlineStr">
        <is>
          <t>UPPSALA LÄN</t>
        </is>
      </c>
      <c r="G3" t="inlineStr">
        <is>
          <t>HÅBO</t>
        </is>
      </c>
      <c r="I3" t="n">
        <v>3.5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17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16618-2024 artfynd.xlsx", "A 16618-2024")</f>
        <v/>
      </c>
      <c r="X3">
        <f>HYPERLINK("https://klasma.github.io/Logging_0305/kartor/A 16618-2024 karta.png", "A 16618-2024")</f>
        <v/>
      </c>
      <c r="Y3">
        <f>HYPERLINK("https://klasma.github.io/Logging_0305/kartor_geotiff/A 16618-2024 georefererad karta.tif", "A 16618-2024")</f>
        <v/>
      </c>
      <c r="AA3">
        <f>HYPERLINK("https://klasma.github.io/Logging_0305/klagomål/A 16618-2024 FSC-klagomål.docx", "A 16618-2024")</f>
        <v/>
      </c>
      <c r="AB3">
        <f>HYPERLINK("https://klasma.github.io/Logging_0305/klagomålsmail/A 16618-2024 FSC-klagomål mail.docx", "A 16618-2024")</f>
        <v/>
      </c>
      <c r="AC3">
        <f>HYPERLINK("https://klasma.github.io/Logging_0305/tillsyn/A 16618-2024 tillsynsbegäran.docx", "A 16618-2024")</f>
        <v/>
      </c>
      <c r="AD3">
        <f>HYPERLINK("https://klasma.github.io/Logging_0305/tillsynsmail/A 16618-2024 tillsynsbegäran mail.docx", "A 16618-2024")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46315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46315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46315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36934-2026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46273</v>
      </c>
      <c r="E7" s="1" t="n">
        <v>46315</v>
      </c>
      <c r="F7" t="inlineStr">
        <is>
          <t>UPPSALA LÄN</t>
        </is>
      </c>
      <c r="G7" t="inlineStr">
        <is>
          <t>HÅBO</t>
        </is>
      </c>
      <c r="H7" t="inlineStr">
        <is>
          <t>Kyrkan</t>
        </is>
      </c>
      <c r="I7" t="n">
        <v>2.6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Bronshjon
Stubbspretmossa
Kransmossa
Spillkråka
Tofsmes</t>
        </is>
      </c>
      <c r="W7">
        <f>HYPERLINK("https://klasma.github.io/Logging_0305/artfynd/A 36934-2026 artfynd.xlsx", "A 36934-2026")</f>
        <v/>
      </c>
      <c r="X7">
        <f>HYPERLINK("https://klasma.github.io/Logging_0305/kartor/A 36934-2026 karta.png", "A 36934-2026")</f>
        <v/>
      </c>
      <c r="Y7">
        <f>HYPERLINK("https://klasma.github.io/Logging_0305/kartor_geotiff/A 36934-2026 georefererad karta.tif", "A 36934-2026")</f>
        <v/>
      </c>
      <c r="AA7">
        <f>HYPERLINK("https://klasma.github.io/Logging_0305/klagomål/A 36934-2026 FSC-klagomål.docx", "A 36934-2026")</f>
        <v/>
      </c>
      <c r="AB7">
        <f>HYPERLINK("https://klasma.github.io/Logging_0305/klagomålsmail/A 36934-2026 FSC-klagomål mail.docx", "A 36934-2026")</f>
        <v/>
      </c>
      <c r="AC7">
        <f>HYPERLINK("https://klasma.github.io/Logging_0305/tillsyn/A 36934-2026 tillsynsbegäran.docx", "A 36934-2026")</f>
        <v/>
      </c>
      <c r="AD7">
        <f>HYPERLINK("https://klasma.github.io/Logging_0305/tillsynsmail/A 36934-2026 tillsynsbegäran mail.docx", "A 36934-2026")</f>
        <v/>
      </c>
      <c r="AE7">
        <f>HYPERLINK("https://klasma.github.io/Logging_0305/fåglar/A 36934-2026 prioriterade fågelarter.docx", "A 36934-2026")</f>
        <v/>
      </c>
    </row>
    <row r="8" ht="15" customHeight="1">
      <c r="A8" t="inlineStr">
        <is>
          <t>A 4521-2024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46315</v>
      </c>
      <c r="F8" t="inlineStr">
        <is>
          <t>UPPSALA LÄN</t>
        </is>
      </c>
      <c r="G8" t="inlineStr">
        <is>
          <t>HÅBO</t>
        </is>
      </c>
      <c r="I8" t="n">
        <v>17.4</v>
      </c>
      <c r="J8" t="n">
        <v>1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Fjällig taggsvamp s.str.
Talltita
Bronshjon
Lönnlav</t>
        </is>
      </c>
      <c r="W8">
        <f>HYPERLINK("https://klasma.github.io/Logging_0305/artfynd/A 4521-2024 artfynd.xlsx", "A 4521-2024")</f>
        <v/>
      </c>
      <c r="X8">
        <f>HYPERLINK("https://klasma.github.io/Logging_0305/kartor/A 4521-2024 karta.png", "A 4521-2024")</f>
        <v/>
      </c>
      <c r="Y8">
        <f>HYPERLINK("https://klasma.github.io/Logging_0305/kartor_geotiff/A 4521-2024 georefererad karta.tif", "A 4521-2024")</f>
        <v/>
      </c>
      <c r="AA8">
        <f>HYPERLINK("https://klasma.github.io/Logging_0305/klagomål/A 4521-2024 FSC-klagomål.docx", "A 4521-2024")</f>
        <v/>
      </c>
      <c r="AB8">
        <f>HYPERLINK("https://klasma.github.io/Logging_0305/klagomålsmail/A 4521-2024 FSC-klagomål mail.docx", "A 4521-2024")</f>
        <v/>
      </c>
      <c r="AC8">
        <f>HYPERLINK("https://klasma.github.io/Logging_0305/tillsyn/A 4521-2024 tillsynsbegäran.docx", "A 4521-2024")</f>
        <v/>
      </c>
      <c r="AD8">
        <f>HYPERLINK("https://klasma.github.io/Logging_0305/tillsynsmail/A 4521-2024 tillsynsbegäran mail.docx", "A 4521-2024")</f>
        <v/>
      </c>
      <c r="AE8">
        <f>HYPERLINK("https://klasma.github.io/Logging_0305/fåglar/A 4521-2024 prioriterade fågelarter.docx", "A 4521-2024")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46315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46315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35197-2025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45853</v>
      </c>
      <c r="E11" s="1" t="n">
        <v>46315</v>
      </c>
      <c r="F11" t="inlineStr">
        <is>
          <t>UPPSALA LÄN</t>
        </is>
      </c>
      <c r="G11" t="inlineStr">
        <is>
          <t>HÅBO</t>
        </is>
      </c>
      <c r="I11" t="n">
        <v>0.9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5</v>
      </c>
      <c r="U11" t="n">
        <v>0</v>
      </c>
      <c r="V11" s="2" t="inlineStr">
        <is>
          <t>Grönsångare
Tallticka
Vintertagging</t>
        </is>
      </c>
      <c r="W11">
        <f>HYPERLINK("https://klasma.github.io/Logging_0305/artfynd/A 35197-2025 artfynd.xlsx", "A 35197-2025")</f>
        <v/>
      </c>
      <c r="X11">
        <f>HYPERLINK("https://klasma.github.io/Logging_0305/kartor/A 35197-2025 karta.png", "A 35197-2025")</f>
        <v/>
      </c>
      <c r="Y11">
        <f>HYPERLINK("https://klasma.github.io/Logging_0305/kartor_geotiff/A 35197-2025 georefererad karta.tif", "A 35197-2025")</f>
        <v/>
      </c>
      <c r="AA11">
        <f>HYPERLINK("https://klasma.github.io/Logging_0305/klagomål/A 35197-2025 FSC-klagomål.docx", "A 35197-2025")</f>
        <v/>
      </c>
      <c r="AB11">
        <f>HYPERLINK("https://klasma.github.io/Logging_0305/klagomålsmail/A 35197-2025 FSC-klagomål mail.docx", "A 35197-2025")</f>
        <v/>
      </c>
      <c r="AC11">
        <f>HYPERLINK("https://klasma.github.io/Logging_0305/tillsyn/A 35197-2025 tillsynsbegäran.docx", "A 35197-2025")</f>
        <v/>
      </c>
      <c r="AD11">
        <f>HYPERLINK("https://klasma.github.io/Logging_0305/tillsynsmail/A 35197-2025 tillsynsbegäran mail.docx", "A 35197-2025")</f>
        <v/>
      </c>
      <c r="AE11">
        <f>HYPERLINK("https://klasma.github.io/Logging_0305/fåglar/A 35197-2025 prioriterade fågelarter.docx", "A 35197-2025")</f>
        <v/>
      </c>
    </row>
    <row r="12" ht="15" customHeight="1">
      <c r="A12" t="inlineStr">
        <is>
          <t>A 47425-2022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44851</v>
      </c>
      <c r="E12" s="1" t="n">
        <v>46315</v>
      </c>
      <c r="F12" t="inlineStr">
        <is>
          <t>UPPSALA LÄN</t>
        </is>
      </c>
      <c r="G12" t="inlineStr">
        <is>
          <t>HÅBO</t>
        </is>
      </c>
      <c r="I12" t="n">
        <v>1.7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 dropplav
Strimspindling</t>
        </is>
      </c>
      <c r="W12">
        <f>HYPERLINK("https://klasma.github.io/Logging_0305/artfynd/A 47425-2022 artfynd.xlsx", "A 47425-2022")</f>
        <v/>
      </c>
      <c r="X12">
        <f>HYPERLINK("https://klasma.github.io/Logging_0305/kartor/A 47425-2022 karta.png", "A 47425-2022")</f>
        <v/>
      </c>
      <c r="Y12">
        <f>HYPERLINK("https://klasma.github.io/Logging_0305/kartor_geotiff/A 47425-2022 georefererad karta.tif", "A 47425-2022")</f>
        <v/>
      </c>
      <c r="AA12">
        <f>HYPERLINK("https://klasma.github.io/Logging_0305/klagomål/A 47425-2022 FSC-klagomål.docx", "A 47425-2022")</f>
        <v/>
      </c>
      <c r="AB12">
        <f>HYPERLINK("https://klasma.github.io/Logging_0305/klagomålsmail/A 47425-2022 FSC-klagomål mail.docx", "A 47425-2022")</f>
        <v/>
      </c>
      <c r="AC12">
        <f>HYPERLINK("https://klasma.github.io/Logging_0305/tillsyn/A 47425-2022 tillsynsbegäran.docx", "A 47425-2022")</f>
        <v/>
      </c>
      <c r="AD12">
        <f>HYPERLINK("https://klasma.github.io/Logging_0305/tillsynsmail/A 47425-2022 tillsynsbegäran mail.docx", "A 47425-2022")</f>
        <v/>
      </c>
    </row>
    <row r="13" ht="15" customHeight="1">
      <c r="A13" t="inlineStr">
        <is>
          <t>A 23250-2022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44719</v>
      </c>
      <c r="E13" s="1" t="n">
        <v>46315</v>
      </c>
      <c r="F13" t="inlineStr">
        <is>
          <t>UPPSALA LÄN</t>
        </is>
      </c>
      <c r="G13" t="inlineStr">
        <is>
          <t>HÅBO</t>
        </is>
      </c>
      <c r="H13" t="inlineStr">
        <is>
          <t>Naturvårdsverket</t>
        </is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Rynkskinn</t>
        </is>
      </c>
      <c r="W13">
        <f>HYPERLINK("https://klasma.github.io/Logging_0305/artfynd/A 23250-2022 artfynd.xlsx", "A 23250-2022")</f>
        <v/>
      </c>
      <c r="X13">
        <f>HYPERLINK("https://klasma.github.io/Logging_0305/kartor/A 23250-2022 karta.png", "A 23250-2022")</f>
        <v/>
      </c>
      <c r="Y13">
        <f>HYPERLINK("https://klasma.github.io/Logging_0305/kartor_geotiff/A 23250-2022 georefererad karta.tif", "A 23250-2022")</f>
        <v/>
      </c>
      <c r="AA13">
        <f>HYPERLINK("https://klasma.github.io/Logging_0305/klagomål/A 23250-2022 FSC-klagomål.docx", "A 23250-2022")</f>
        <v/>
      </c>
      <c r="AB13">
        <f>HYPERLINK("https://klasma.github.io/Logging_0305/klagomålsmail/A 23250-2022 FSC-klagomål mail.docx", "A 23250-2022")</f>
        <v/>
      </c>
      <c r="AC13">
        <f>HYPERLINK("https://klasma.github.io/Logging_0305/tillsyn/A 23250-2022 tillsynsbegäran.docx", "A 23250-2022")</f>
        <v/>
      </c>
      <c r="AD13">
        <f>HYPERLINK("https://klasma.github.io/Logging_0305/tillsynsmail/A 23250-2022 tillsynsbegäran mail.docx", "A 23250-2022")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46315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A 37415-2023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45155</v>
      </c>
      <c r="E15" s="1" t="n">
        <v>46315</v>
      </c>
      <c r="F15" t="inlineStr">
        <is>
          <t>UPPSALA LÄN</t>
        </is>
      </c>
      <c r="G15" t="inlineStr">
        <is>
          <t>HÅBO</t>
        </is>
      </c>
      <c r="I15" t="n">
        <v>6.6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HYPERLINK("https://klasma.github.io/Logging_0305/artfynd/A 37415-2023 artfynd.xlsx", "A 37415-2023")</f>
        <v/>
      </c>
      <c r="X15">
        <f>HYPERLINK("https://klasma.github.io/Logging_0305/kartor/A 37415-2023 karta.png", "A 37415-2023")</f>
        <v/>
      </c>
      <c r="Y15">
        <f>HYPERLINK("https://klasma.github.io/Logging_0305/kartor_geotiff/A 37415-2023 georefererad karta.tif", "A 37415-2023")</f>
        <v/>
      </c>
      <c r="AA15">
        <f>HYPERLINK("https://klasma.github.io/Logging_0305/klagomål/A 37415-2023 FSC-klagomål.docx", "A 37415-2023")</f>
        <v/>
      </c>
      <c r="AB15">
        <f>HYPERLINK("https://klasma.github.io/Logging_0305/klagomålsmail/A 37415-2023 FSC-klagomål mail.docx", "A 37415-2023")</f>
        <v/>
      </c>
      <c r="AC15">
        <f>HYPERLINK("https://klasma.github.io/Logging_0305/tillsyn/A 37415-2023 tillsynsbegäran.docx", "A 37415-2023")</f>
        <v/>
      </c>
      <c r="AD15">
        <f>HYPERLINK("https://klasma.github.io/Logging_0305/tillsynsmail/A 37415-2023 tillsynsbegäran mail.docx", "A 37415-2023")</f>
        <v/>
      </c>
      <c r="AE15">
        <f>HYPERLINK("https://klasma.github.io/Logging_0305/fåglar/A 37415-2023 prioriterade fågelarter.docx", "A 37415-2023")</f>
        <v/>
      </c>
    </row>
    <row r="16" ht="15" customHeight="1">
      <c r="A16" t="inlineStr">
        <is>
          <t>A 37080-2026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46315</v>
      </c>
      <c r="F16" t="inlineStr">
        <is>
          <t>UPPSALA LÄN</t>
        </is>
      </c>
      <c r="G16" t="inlineStr">
        <is>
          <t>HÅBO</t>
        </is>
      </c>
      <c r="H16" t="inlineStr">
        <is>
          <t>Kyrkan</t>
        </is>
      </c>
      <c r="I16" t="n">
        <v>1.5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Talltita</t>
        </is>
      </c>
      <c r="W16">
        <f>HYPERLINK("https://klasma.github.io/Logging_0305/artfynd/A 37080-2026 artfynd.xlsx", "A 37080-2026")</f>
        <v/>
      </c>
      <c r="X16">
        <f>HYPERLINK("https://klasma.github.io/Logging_0305/kartor/A 37080-2026 karta.png", "A 37080-2026")</f>
        <v/>
      </c>
      <c r="Y16">
        <f>HYPERLINK("https://klasma.github.io/Logging_0305/kartor_geotiff/A 37080-2026 georefererad karta.tif", "A 37080-2026")</f>
        <v/>
      </c>
      <c r="AA16">
        <f>HYPERLINK("https://klasma.github.io/Logging_0305/klagomål/A 37080-2026 FSC-klagomål.docx", "A 37080-2026")</f>
        <v/>
      </c>
      <c r="AB16">
        <f>HYPERLINK("https://klasma.github.io/Logging_0305/klagomålsmail/A 37080-2026 FSC-klagomål mail.docx", "A 37080-2026")</f>
        <v/>
      </c>
      <c r="AC16">
        <f>HYPERLINK("https://klasma.github.io/Logging_0305/tillsyn/A 37080-2026 tillsynsbegäran.docx", "A 37080-2026")</f>
        <v/>
      </c>
      <c r="AD16">
        <f>HYPERLINK("https://klasma.github.io/Logging_0305/tillsynsmail/A 37080-2026 tillsynsbegäran mail.docx", "A 37080-2026")</f>
        <v/>
      </c>
      <c r="AE16">
        <f>HYPERLINK("https://klasma.github.io/Logging_0305/fåglar/A 37080-2026 prioriterade fågelarter.docx", "A 37080-2026")</f>
        <v/>
      </c>
    </row>
    <row r="17" ht="15" customHeight="1">
      <c r="A17" t="inlineStr">
        <is>
          <t>S 3579-2023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45211</v>
      </c>
      <c r="E17" s="1" t="n">
        <v>46315</v>
      </c>
      <c r="F17" t="inlineStr">
        <is>
          <t>UPPSALA LÄN</t>
        </is>
      </c>
      <c r="G17" t="inlineStr">
        <is>
          <t>HÅBO</t>
        </is>
      </c>
      <c r="H17" t="inlineStr">
        <is>
          <t>Kommuner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Bombmurkla</t>
        </is>
      </c>
      <c r="W17">
        <f>HYPERLINK("https://klasma.github.io/Logging_0305/artfynd/S 3579-2023 artfynd.xlsx", "S 3579-2023")</f>
        <v/>
      </c>
      <c r="X17">
        <f>HYPERLINK("https://klasma.github.io/Logging_0305/kartor/S 3579-2023 karta.png", "S 3579-2023")</f>
        <v/>
      </c>
      <c r="Y17">
        <f>HYPERLINK("https://klasma.github.io/Logging_0305/kartor_geotiff/S 3579-2023 georefererad karta.tif", "S 3579-2023")</f>
        <v/>
      </c>
      <c r="AA17">
        <f>HYPERLINK("https://klasma.github.io/Logging_0305/klagomål/S 3579-2023 FSC-klagomål.docx", "S 3579-2023")</f>
        <v/>
      </c>
      <c r="AB17">
        <f>HYPERLINK("https://klasma.github.io/Logging_0305/klagomålsmail/S 3579-2023 FSC-klagomål mail.docx", "S 3579-2023")</f>
        <v/>
      </c>
      <c r="AC17">
        <f>HYPERLINK("https://klasma.github.io/Logging_0305/tillsyn/S 3579-2023 tillsynsbegäran.docx", "S 3579-2023")</f>
        <v/>
      </c>
      <c r="AD17">
        <f>HYPERLINK("https://klasma.github.io/Logging_0305/tillsynsmail/S 3579-2023 tillsynsbegäran mail.docx", "S 3579-2023")</f>
        <v/>
      </c>
    </row>
    <row r="18" ht="15" customHeight="1">
      <c r="A18" t="inlineStr">
        <is>
          <t>A 12156-2023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46315</v>
      </c>
      <c r="F18" t="inlineStr">
        <is>
          <t>UPPSALA LÄN</t>
        </is>
      </c>
      <c r="G18" t="inlineStr">
        <is>
          <t>HÅBO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46315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37410-2023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45155</v>
      </c>
      <c r="E20" s="1" t="n">
        <v>46315</v>
      </c>
      <c r="F20" t="inlineStr">
        <is>
          <t>UPPSALA LÄN</t>
        </is>
      </c>
      <c r="G20" t="inlineStr">
        <is>
          <t>HÅBO</t>
        </is>
      </c>
      <c r="I20" t="n">
        <v>20.9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8486-2026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46064</v>
      </c>
      <c r="E21" s="1" t="n">
        <v>46315</v>
      </c>
      <c r="F21" t="inlineStr">
        <is>
          <t>UPPSALA LÄN</t>
        </is>
      </c>
      <c r="G21" t="inlineStr">
        <is>
          <t>HÅBO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27484-2026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46185</v>
      </c>
      <c r="E22" s="1" t="n">
        <v>46315</v>
      </c>
      <c r="F22" t="inlineStr">
        <is>
          <t>UPPSALA LÄN</t>
        </is>
      </c>
      <c r="G22" t="inlineStr">
        <is>
          <t>HÅBO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34202-2022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44791</v>
      </c>
      <c r="E23" s="1" t="n">
        <v>46315</v>
      </c>
      <c r="F23" t="inlineStr">
        <is>
          <t>UPPSALA LÄN</t>
        </is>
      </c>
      <c r="G23" t="inlineStr">
        <is>
          <t>HÅBO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11997-2026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46085</v>
      </c>
      <c r="E24" s="1" t="n">
        <v>46315</v>
      </c>
      <c r="F24" t="inlineStr">
        <is>
          <t>UPPSALA LÄN</t>
        </is>
      </c>
      <c r="G24" t="inlineStr">
        <is>
          <t>HÅBO</t>
        </is>
      </c>
      <c r="H24" t="inlineStr">
        <is>
          <t>Övriga statliga verk och myndigheter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45327</v>
      </c>
      <c r="E25" s="1" t="n">
        <v>46315</v>
      </c>
      <c r="F25" t="inlineStr">
        <is>
          <t>UPPSALA LÄN</t>
        </is>
      </c>
      <c r="G25" t="inlineStr">
        <is>
          <t>HÅBO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15607-2026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46106</v>
      </c>
      <c r="E26" s="1" t="n">
        <v>46315</v>
      </c>
      <c r="F26" t="inlineStr">
        <is>
          <t>UPPSALA LÄN</t>
        </is>
      </c>
      <c r="G26" t="inlineStr">
        <is>
          <t>HÅBO</t>
        </is>
      </c>
      <c r="H26" t="inlineStr">
        <is>
          <t>Övriga statliga verk och myndigheter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16404-2026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46111</v>
      </c>
      <c r="E27" s="1" t="n">
        <v>46315</v>
      </c>
      <c r="F27" t="inlineStr">
        <is>
          <t>UPPSALA LÄN</t>
        </is>
      </c>
      <c r="G27" t="inlineStr">
        <is>
          <t>HÅBO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16325-2026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46111</v>
      </c>
      <c r="E28" s="1" t="n">
        <v>46315</v>
      </c>
      <c r="F28" t="inlineStr">
        <is>
          <t>UPPSALA LÄN</t>
        </is>
      </c>
      <c r="G28" t="inlineStr">
        <is>
          <t>HÅBO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35300-2025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45854</v>
      </c>
      <c r="E29" s="1" t="n">
        <v>46315</v>
      </c>
      <c r="F29" t="inlineStr">
        <is>
          <t>UPPSALA LÄN</t>
        </is>
      </c>
      <c r="G29" t="inlineStr">
        <is>
          <t>HÅBO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65836-2021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46315</v>
      </c>
      <c r="F30" t="inlineStr">
        <is>
          <t>UPPSALA LÄN</t>
        </is>
      </c>
      <c r="G30" t="inlineStr">
        <is>
          <t>HÅBO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46315</v>
      </c>
      <c r="F31" t="inlineStr">
        <is>
          <t>UPPSALA LÄN</t>
        </is>
      </c>
      <c r="G31" t="inlineStr">
        <is>
          <t>HÅBO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12146-2023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44998</v>
      </c>
      <c r="E32" s="1" t="n">
        <v>46315</v>
      </c>
      <c r="F32" t="inlineStr">
        <is>
          <t>UPPSALA LÄN</t>
        </is>
      </c>
      <c r="G32" t="inlineStr">
        <is>
          <t>HÅBO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2026-10-20T01:55:26Z</dcterms:created>
  <dcterms:modified xmlns:dcterms="http://purl.org/dc/terms/" xmlns:xsi="http://www.w3.org/2001/XMLSchema-instance" xsi:type="dcterms:W3CDTF">2026-10-20T01:55:26Z</dcterms:modified>
</cp:coreProperties>
</file>