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46267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47653-2024 artfynd.xlsx", "A 47653-2024")</f>
        <v/>
      </c>
      <c r="X2">
        <f>HYPERLINK("https://klasma.github.io/Logging_0305/kartor/A 47653-2024 karta.png", "A 47653-2024")</f>
        <v/>
      </c>
      <c r="Y2">
        <f>HYPERLINK("https://klasma.github.io/Logging_0305/kartor_geotiff/A 47653-2024 georefererad karta.tif", "A 47653-2024")</f>
        <v/>
      </c>
      <c r="AA2">
        <f>HYPERLINK("https://klasma.github.io/Logging_0305/klagomål/A 47653-2024 FSC-klagomål.docx", "A 47653-2024")</f>
        <v/>
      </c>
      <c r="AB2">
        <f>HYPERLINK("https://klasma.github.io/Logging_0305/klagomålsmail/A 47653-2024 FSC-klagomål mail.docx", "A 47653-2024")</f>
        <v/>
      </c>
      <c r="AC2">
        <f>HYPERLINK("https://klasma.github.io/Logging_0305/tillsyn/A 47653-2024 tillsynsbegäran.docx", "A 47653-2024")</f>
        <v/>
      </c>
      <c r="AD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46267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16618-2024 artfynd.xlsx", "A 16618-2024")</f>
        <v/>
      </c>
      <c r="X3">
        <f>HYPERLINK("https://klasma.github.io/Logging_0305/kartor/A 16618-2024 karta.png", "A 16618-2024")</f>
        <v/>
      </c>
      <c r="Y3">
        <f>HYPERLINK("https://klasma.github.io/Logging_0305/kartor_geotiff/A 16618-2024 georefererad karta.tif", "A 16618-2024")</f>
        <v/>
      </c>
      <c r="AA3">
        <f>HYPERLINK("https://klasma.github.io/Logging_0305/klagomål/A 16618-2024 FSC-klagomål.docx", "A 16618-2024")</f>
        <v/>
      </c>
      <c r="AB3">
        <f>HYPERLINK("https://klasma.github.io/Logging_0305/klagomålsmail/A 16618-2024 FSC-klagomål mail.docx", "A 16618-2024")</f>
        <v/>
      </c>
      <c r="AC3">
        <f>HYPERLINK("https://klasma.github.io/Logging_0305/tillsyn/A 16618-2024 tillsynsbegäran.docx", "A 16618-2024")</f>
        <v/>
      </c>
      <c r="AD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46267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46267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46267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46267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46267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46267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46267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46267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46267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46267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46267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46267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46267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12156-2023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46267</v>
      </c>
      <c r="F17" t="inlineStr">
        <is>
          <t>UPPSALA LÄN</t>
        </is>
      </c>
      <c r="G17" t="inlineStr">
        <is>
          <t>HÅBO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46267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8486-2026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46064</v>
      </c>
      <c r="E19" s="1" t="n">
        <v>46267</v>
      </c>
      <c r="F19" t="inlineStr">
        <is>
          <t>UPPSALA LÄN</t>
        </is>
      </c>
      <c r="G19" t="inlineStr">
        <is>
          <t>HÅBO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11997-2026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46267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45155</v>
      </c>
      <c r="E21" s="1" t="n">
        <v>46267</v>
      </c>
      <c r="F21" t="inlineStr">
        <is>
          <t>UPPSALA LÄN</t>
        </is>
      </c>
      <c r="G21" t="inlineStr">
        <is>
          <t>HÅBO</t>
        </is>
      </c>
      <c r="I21" t="n">
        <v>20.9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15607-2026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46106</v>
      </c>
      <c r="E22" s="1" t="n">
        <v>46267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46267</v>
      </c>
      <c r="F23" t="inlineStr">
        <is>
          <t>UPPSALA LÄN</t>
        </is>
      </c>
      <c r="G23" t="inlineStr">
        <is>
          <t>HÅBO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46267</v>
      </c>
      <c r="F24" t="inlineStr">
        <is>
          <t>UPPSALA LÄN</t>
        </is>
      </c>
      <c r="G24" t="inlineStr">
        <is>
          <t>HÅBO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45854</v>
      </c>
      <c r="E25" s="1" t="n">
        <v>46267</v>
      </c>
      <c r="F25" t="inlineStr">
        <is>
          <t>UPPSALA LÄN</t>
        </is>
      </c>
      <c r="G25" t="inlineStr">
        <is>
          <t>HÅBO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34202-2022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44791</v>
      </c>
      <c r="E26" s="1" t="n">
        <v>46267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46267</v>
      </c>
      <c r="F27" t="inlineStr">
        <is>
          <t>UPPSALA LÄN</t>
        </is>
      </c>
      <c r="G27" t="inlineStr">
        <is>
          <t>HÅBO</t>
        </is>
      </c>
      <c r="I27" t="n">
        <v>4.6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65836-2021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46267</v>
      </c>
      <c r="F28" t="inlineStr">
        <is>
          <t>UPPSALA LÄN</t>
        </is>
      </c>
      <c r="G28" t="inlineStr">
        <is>
          <t>HÅBO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44998</v>
      </c>
      <c r="E29" s="1" t="n">
        <v>46267</v>
      </c>
      <c r="F29" t="inlineStr">
        <is>
          <t>UPPSALA LÄN</t>
        </is>
      </c>
      <c r="G29" t="inlineStr">
        <is>
          <t>HÅBO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27484-2026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46267</v>
      </c>
      <c r="F30" t="inlineStr">
        <is>
          <t>UPPSALA LÄN</t>
        </is>
      </c>
      <c r="G30" t="inlineStr">
        <is>
          <t>HÅBO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12146-2023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46267</v>
      </c>
      <c r="F31" t="inlineStr">
        <is>
          <t>UPPSALA LÄN</t>
        </is>
      </c>
      <c r="G31" t="inlineStr">
        <is>
          <t>HÅBO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2026-09-02T02:04:01Z</dcterms:created>
  <dcterms:modified xmlns:dcterms="http://purl.org/dc/terms/" xmlns:xsi="http://www.w3.org/2001/XMLSchema-instance" xsi:type="dcterms:W3CDTF">2026-09-02T02:04:01Z</dcterms:modified>
</cp:coreProperties>
</file>