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46320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46320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46320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46320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46320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46320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36934-2026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46273</v>
      </c>
      <c r="E8" s="1" t="n">
        <v>46320</v>
      </c>
      <c r="F8" t="inlineStr">
        <is>
          <t>UPPSALA LÄN</t>
        </is>
      </c>
      <c r="G8" t="inlineStr">
        <is>
          <t>HÅBO</t>
        </is>
      </c>
      <c r="H8" t="inlineStr">
        <is>
          <t>Kyrkan</t>
        </is>
      </c>
      <c r="I8" t="n">
        <v>2.6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6</v>
      </c>
      <c r="U8" t="n">
        <v>6</v>
      </c>
      <c r="V8" s="2" t="inlineStr">
        <is>
          <t>Bronshjon
Stubbspretmossa
Kransmossa
Spillkråka
Tofsmes</t>
        </is>
      </c>
      <c r="W8">
        <f>HYPERLINK("https://klasma.github.io/Logging_0305/artfynd/A 36934-2026 artfynd.xlsx", "A 36934-2026")</f>
        <v/>
      </c>
      <c r="X8">
        <f>HYPERLINK("https://klasma.github.io/Logging_0305/kartor/A 36934-2026 karta.png", "A 36934-2026")</f>
        <v/>
      </c>
      <c r="Y8">
        <f>HYPERLINK("https://klasma.github.io/Logging_0305/kartor_geotiff/A 36934-2026 georefererad karta.tif", "A 36934-2026")</f>
        <v/>
      </c>
      <c r="AA8">
        <f>HYPERLINK("https://klasma.github.io/Logging_0305/klagomål/A 36934-2026 FSC-klagomål.docx", "A 36934-2026")</f>
        <v/>
      </c>
      <c r="AB8">
        <f>HYPERLINK("https://klasma.github.io/Logging_0305/klagomålsmail/A 36934-2026 FSC-klagomål mail.docx", "A 36934-2026")</f>
        <v/>
      </c>
      <c r="AC8">
        <f>HYPERLINK("https://klasma.github.io/Logging_0305/tillsyn/A 36934-2026 tillsynsbegäran.docx", "A 36934-2026")</f>
        <v/>
      </c>
      <c r="AD8">
        <f>HYPERLINK("https://klasma.github.io/Logging_0305/tillsynsmail/A 36934-2026 tillsynsbegäran mail.docx", "A 36934-2026")</f>
        <v/>
      </c>
      <c r="AE8">
        <f>HYPERLINK("https://klasma.github.io/Logging_0305/fåglar/A 36934-2026 prioriterade fågelarter.docx", "A 36934-2026")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46320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37417-2023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46320</v>
      </c>
      <c r="F10" t="inlineStr">
        <is>
          <t>UPPSALA LÄN</t>
        </is>
      </c>
      <c r="G10" t="inlineStr">
        <is>
          <t>HÅBO</t>
        </is>
      </c>
      <c r="I10" t="n">
        <v>12.9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Ullticka
Blåsippa</t>
        </is>
      </c>
      <c r="W10">
        <f>HYPERLINK("https://klasma.github.io/Logging_0305/artfynd/A 37417-2023 artfynd.xlsx", "A 37417-2023")</f>
        <v/>
      </c>
      <c r="X10">
        <f>HYPERLINK("https://klasma.github.io/Logging_0305/kartor/A 37417-2023 karta.png", "A 37417-2023")</f>
        <v/>
      </c>
      <c r="Y10">
        <f>HYPERLINK("https://klasma.github.io/Logging_0305/kartor_geotiff/A 37417-2023 georefererad karta.tif", "A 37417-2023")</f>
        <v/>
      </c>
      <c r="Z10">
        <f>HYPERLINK("https://klasma.github.io/Logging_0305/knärot/A 37417-2023 karta knärot.png", "A 37417-2023")</f>
        <v/>
      </c>
      <c r="AA10">
        <f>HYPERLINK("https://klasma.github.io/Logging_0305/klagomål/A 37417-2023 FSC-klagomål.docx", "A 37417-2023")</f>
        <v/>
      </c>
      <c r="AB10">
        <f>HYPERLINK("https://klasma.github.io/Logging_0305/klagomålsmail/A 37417-2023 FSC-klagomål mail.docx", "A 37417-2023")</f>
        <v/>
      </c>
      <c r="AC10">
        <f>HYPERLINK("https://klasma.github.io/Logging_0305/tillsyn/A 37417-2023 tillsynsbegäran.docx", "A 37417-2023")</f>
        <v/>
      </c>
      <c r="AD10">
        <f>HYPERLINK("https://klasma.github.io/Logging_0305/tillsynsmail/A 37417-2023 tillsynsbegäran mail.docx", "A 37417-2023")</f>
        <v/>
      </c>
    </row>
    <row r="11" ht="15" customHeight="1">
      <c r="A11" t="inlineStr">
        <is>
          <t>A 67005-2021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44522</v>
      </c>
      <c r="E11" s="1" t="n">
        <v>46320</v>
      </c>
      <c r="F11" t="inlineStr">
        <is>
          <t>UPPSALA LÄN</t>
        </is>
      </c>
      <c r="G11" t="inlineStr">
        <is>
          <t>HÅBO</t>
        </is>
      </c>
      <c r="I11" t="n">
        <v>1.3</v>
      </c>
      <c r="J11" t="n">
        <v>0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Prakttagging
Gulvit blekspik
Lönnlav</t>
        </is>
      </c>
      <c r="W11">
        <f>HYPERLINK("https://klasma.github.io/Logging_0305/artfynd/A 67005-2021 artfynd.xlsx", "A 67005-2021")</f>
        <v/>
      </c>
      <c r="X11">
        <f>HYPERLINK("https://klasma.github.io/Logging_0305/kartor/A 67005-2021 karta.png", "A 67005-2021")</f>
        <v/>
      </c>
      <c r="Y11">
        <f>HYPERLINK("https://klasma.github.io/Logging_0305/kartor_geotiff/A 67005-2021 georefererad karta.tif", "A 67005-2021")</f>
        <v/>
      </c>
      <c r="AA11">
        <f>HYPERLINK("https://klasma.github.io/Logging_0305/klagomål/A 67005-2021 FSC-klagomål.docx", "A 67005-2021")</f>
        <v/>
      </c>
      <c r="AB11">
        <f>HYPERLINK("https://klasma.github.io/Logging_0305/klagomålsmail/A 67005-2021 FSC-klagomål mail.docx", "A 67005-2021")</f>
        <v/>
      </c>
      <c r="AC11">
        <f>HYPERLINK("https://klasma.github.io/Logging_0305/tillsyn/A 67005-2021 tillsynsbegäran.docx", "A 67005-2021")</f>
        <v/>
      </c>
      <c r="AD11">
        <f>HYPERLINK("https://klasma.github.io/Logging_0305/tillsynsmail/A 67005-2021 tillsynsbegäran mail.docx", "A 67005-2021")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46320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46320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46320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A 55962-2023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46320</v>
      </c>
      <c r="F15" t="inlineStr">
        <is>
          <t>UPPSALA LÄN</t>
        </is>
      </c>
      <c r="G15" t="inlineStr">
        <is>
          <t>HÅBO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Bolmört</t>
        </is>
      </c>
      <c r="W15">
        <f>HYPERLINK("https://klasma.github.io/Logging_0305/artfynd/A 55962-2023 artfynd.xlsx", "A 55962-2023")</f>
        <v/>
      </c>
      <c r="X15">
        <f>HYPERLINK("https://klasma.github.io/Logging_0305/kartor/A 55962-2023 karta.png", "A 55962-2023")</f>
        <v/>
      </c>
      <c r="Y15">
        <f>HYPERLINK("https://klasma.github.io/Logging_0305/kartor_geotiff/A 55962-2023 georefererad karta.tif", "A 55962-2023")</f>
        <v/>
      </c>
      <c r="AA15">
        <f>HYPERLINK("https://klasma.github.io/Logging_0305/klagomål/A 55962-2023 FSC-klagomål.docx", "A 55962-2023")</f>
        <v/>
      </c>
      <c r="AB15">
        <f>HYPERLINK("https://klasma.github.io/Logging_0305/klagomålsmail/A 55962-2023 FSC-klagomål mail.docx", "A 55962-2023")</f>
        <v/>
      </c>
      <c r="AC15">
        <f>HYPERLINK("https://klasma.github.io/Logging_0305/tillsyn/A 55962-2023 tillsynsbegäran.docx", "A 55962-2023")</f>
        <v/>
      </c>
      <c r="AD15">
        <f>HYPERLINK("https://klasma.github.io/Logging_0305/tillsynsmail/A 55962-2023 tillsynsbegäran mail.docx", "A 55962-2023")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46320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46320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12154-2023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46320</v>
      </c>
      <c r="F18" t="inlineStr">
        <is>
          <t>UPPSALA LÄN</t>
        </is>
      </c>
      <c r="G18" t="inlineStr">
        <is>
          <t>HÅBO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46320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27484-2026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46185</v>
      </c>
      <c r="E20" s="1" t="n">
        <v>46320</v>
      </c>
      <c r="F20" t="inlineStr">
        <is>
          <t>UPPSALA LÄN</t>
        </is>
      </c>
      <c r="G20" t="inlineStr">
        <is>
          <t>HÅBO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8486-2026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46064</v>
      </c>
      <c r="E21" s="1" t="n">
        <v>46320</v>
      </c>
      <c r="F21" t="inlineStr">
        <is>
          <t>UPPSALA LÄN</t>
        </is>
      </c>
      <c r="G21" t="inlineStr">
        <is>
          <t>HÅBO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11997-2026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46320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46106</v>
      </c>
      <c r="E23" s="1" t="n">
        <v>46320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16404-2026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46320</v>
      </c>
      <c r="F24" t="inlineStr">
        <is>
          <t>UPPSALA LÄN</t>
        </is>
      </c>
      <c r="G24" t="inlineStr">
        <is>
          <t>HÅBO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16325-2026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46320</v>
      </c>
      <c r="F25" t="inlineStr">
        <is>
          <t>UPPSALA LÄN</t>
        </is>
      </c>
      <c r="G25" t="inlineStr">
        <is>
          <t>HÅBO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35300-2025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45854</v>
      </c>
      <c r="E26" s="1" t="n">
        <v>46320</v>
      </c>
      <c r="F26" t="inlineStr">
        <is>
          <t>UPPSALA LÄN</t>
        </is>
      </c>
      <c r="G26" t="inlineStr">
        <is>
          <t>HÅBO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46320</v>
      </c>
      <c r="F27" t="inlineStr">
        <is>
          <t>UPPSALA LÄN</t>
        </is>
      </c>
      <c r="G27" t="inlineStr">
        <is>
          <t>HÅBO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32023-2023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45119</v>
      </c>
      <c r="E28" s="1" t="n">
        <v>46320</v>
      </c>
      <c r="F28" t="inlineStr">
        <is>
          <t>UPPSALA LÄN</t>
        </is>
      </c>
      <c r="G28" t="inlineStr">
        <is>
          <t>HÅBO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37410-2023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45155</v>
      </c>
      <c r="E29" s="1" t="n">
        <v>46320</v>
      </c>
      <c r="F29" t="inlineStr">
        <is>
          <t>UPPSALA LÄN</t>
        </is>
      </c>
      <c r="G29" t="inlineStr">
        <is>
          <t>HÅBO</t>
        </is>
      </c>
      <c r="I29" t="n">
        <v>20.9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34202-2022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44791</v>
      </c>
      <c r="E30" s="1" t="n">
        <v>46320</v>
      </c>
      <c r="F30" t="inlineStr">
        <is>
          <t>UPPSALA LÄN</t>
        </is>
      </c>
      <c r="G30" t="inlineStr">
        <is>
          <t>HÅBO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46320</v>
      </c>
      <c r="F31" t="inlineStr">
        <is>
          <t>UPPSALA LÄN</t>
        </is>
      </c>
      <c r="G31" t="inlineStr">
        <is>
          <t>HÅBO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65836-2021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44517</v>
      </c>
      <c r="E32" s="1" t="n">
        <v>46320</v>
      </c>
      <c r="F32" t="inlineStr">
        <is>
          <t>UPPSALA LÄN</t>
        </is>
      </c>
      <c r="G32" t="inlineStr">
        <is>
          <t>HÅBO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2026-10-25T02:03:03Z</dcterms:created>
  <dcterms:modified xmlns:dcterms="http://purl.org/dc/terms/" xmlns:xsi="http://www.w3.org/2001/XMLSchema-instance" xsi:type="dcterms:W3CDTF">2026-10-25T02:03:03Z</dcterms:modified>
</cp:coreProperties>
</file>