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36934-2026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46273</v>
      </c>
      <c r="E7" s="1" t="n">
        <v>46308</v>
      </c>
      <c r="F7" t="inlineStr">
        <is>
          <t>UPPSALA LÄN</t>
        </is>
      </c>
      <c r="G7" t="inlineStr">
        <is>
          <t>HÅBO</t>
        </is>
      </c>
      <c r="H7" t="inlineStr">
        <is>
          <t>Kyrkan</t>
        </is>
      </c>
      <c r="I7" t="n">
        <v>2.6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Bronshjon
Stubbspretmossa
Kransmossa
Spillkråka
Tofsmes</t>
        </is>
      </c>
      <c r="W7">
        <f>HYPERLINK("https://klasma.github.io/Logging_0305/artfynd/A 36934-2026 artfynd.xlsx", "A 36934-2026")</f>
        <v/>
      </c>
      <c r="X7">
        <f>HYPERLINK("https://klasma.github.io/Logging_0305/kartor/A 36934-2026 karta.png", "A 36934-2026")</f>
        <v/>
      </c>
      <c r="Y7">
        <f>HYPERLINK("https://klasma.github.io/Logging_0305/kartor_geotiff/A 36934-2026 georefererad karta.tif", "A 36934-2026")</f>
        <v/>
      </c>
      <c r="AA7">
        <f>HYPERLINK("https://klasma.github.io/Logging_0305/klagomål/A 36934-2026 FSC-klagomål.docx", "A 36934-2026")</f>
        <v/>
      </c>
      <c r="AB7">
        <f>HYPERLINK("https://klasma.github.io/Logging_0305/klagomålsmail/A 36934-2026 FSC-klagomål mail.docx", "A 36934-2026")</f>
        <v/>
      </c>
      <c r="AC7">
        <f>HYPERLINK("https://klasma.github.io/Logging_0305/tillsyn/A 36934-2026 tillsynsbegäran.docx", "A 36934-2026")</f>
        <v/>
      </c>
      <c r="AD7">
        <f>HYPERLINK("https://klasma.github.io/Logging_0305/tillsynsmail/A 36934-2026 tillsynsbegäran mail.docx", "A 36934-2026")</f>
        <v/>
      </c>
      <c r="AE7">
        <f>HYPERLINK("https://klasma.github.io/Logging_0305/fåglar/A 36934-2026 prioriterade fågelarter.docx", "A 36934-2026")</f>
        <v/>
      </c>
    </row>
    <row r="8" ht="15" customHeight="1">
      <c r="A8" t="inlineStr">
        <is>
          <t>A 4521-2024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46308</v>
      </c>
      <c r="F8" t="inlineStr">
        <is>
          <t>UPPSALA LÄN</t>
        </is>
      </c>
      <c r="G8" t="inlineStr">
        <is>
          <t>HÅBO</t>
        </is>
      </c>
      <c r="I8" t="n">
        <v>17.4</v>
      </c>
      <c r="J8" t="n">
        <v>1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Fjällig taggsvamp s.str.
Talltita
Bronshjon
Lönnlav</t>
        </is>
      </c>
      <c r="W8">
        <f>HYPERLINK("https://klasma.github.io/Logging_0305/artfynd/A 4521-2024 artfynd.xlsx", "A 4521-2024")</f>
        <v/>
      </c>
      <c r="X8">
        <f>HYPERLINK("https://klasma.github.io/Logging_0305/kartor/A 4521-2024 karta.png", "A 4521-2024")</f>
        <v/>
      </c>
      <c r="Y8">
        <f>HYPERLINK("https://klasma.github.io/Logging_0305/kartor_geotiff/A 4521-2024 georefererad karta.tif", "A 4521-2024")</f>
        <v/>
      </c>
      <c r="AA8">
        <f>HYPERLINK("https://klasma.github.io/Logging_0305/klagomål/A 4521-2024 FSC-klagomål.docx", "A 4521-2024")</f>
        <v/>
      </c>
      <c r="AB8">
        <f>HYPERLINK("https://klasma.github.io/Logging_0305/klagomålsmail/A 4521-2024 FSC-klagomål mail.docx", "A 4521-2024")</f>
        <v/>
      </c>
      <c r="AC8">
        <f>HYPERLINK("https://klasma.github.io/Logging_0305/tillsyn/A 4521-2024 tillsynsbegäran.docx", "A 4521-2024")</f>
        <v/>
      </c>
      <c r="AD8">
        <f>HYPERLINK("https://klasma.github.io/Logging_0305/tillsynsmail/A 4521-2024 tillsynsbegäran mail.docx", "A 4521-2024")</f>
        <v/>
      </c>
      <c r="AE8">
        <f>HYPERLINK("https://klasma.github.io/Logging_0305/fåglar/A 4521-2024 prioriterade fågelarter.docx", "A 4521-2024")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46308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46308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46308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46308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46308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37080-2026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46273</v>
      </c>
      <c r="E14" s="1" t="n">
        <v>46308</v>
      </c>
      <c r="F14" t="inlineStr">
        <is>
          <t>UPPSALA LÄN</t>
        </is>
      </c>
      <c r="G14" t="inlineStr">
        <is>
          <t>HÅBO</t>
        </is>
      </c>
      <c r="H14" t="inlineStr">
        <is>
          <t>Kyrkan</t>
        </is>
      </c>
      <c r="I14" t="n">
        <v>1.5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Talltita</t>
        </is>
      </c>
      <c r="W14">
        <f>HYPERLINK("https://klasma.github.io/Logging_0305/artfynd/A 37080-2026 artfynd.xlsx", "A 37080-2026")</f>
        <v/>
      </c>
      <c r="X14">
        <f>HYPERLINK("https://klasma.github.io/Logging_0305/kartor/A 37080-2026 karta.png", "A 37080-2026")</f>
        <v/>
      </c>
      <c r="Y14">
        <f>HYPERLINK("https://klasma.github.io/Logging_0305/kartor_geotiff/A 37080-2026 georefererad karta.tif", "A 37080-2026")</f>
        <v/>
      </c>
      <c r="AA14">
        <f>HYPERLINK("https://klasma.github.io/Logging_0305/klagomål/A 37080-2026 FSC-klagomål.docx", "A 37080-2026")</f>
        <v/>
      </c>
      <c r="AB14">
        <f>HYPERLINK("https://klasma.github.io/Logging_0305/klagomålsmail/A 37080-2026 FSC-klagomål mail.docx", "A 37080-2026")</f>
        <v/>
      </c>
      <c r="AC14">
        <f>HYPERLINK("https://klasma.github.io/Logging_0305/tillsyn/A 37080-2026 tillsynsbegäran.docx", "A 37080-2026")</f>
        <v/>
      </c>
      <c r="AD14">
        <f>HYPERLINK("https://klasma.github.io/Logging_0305/tillsynsmail/A 37080-2026 tillsynsbegäran mail.docx", "A 37080-2026")</f>
        <v/>
      </c>
      <c r="AE14">
        <f>HYPERLINK("https://klasma.github.io/Logging_0305/fåglar/A 37080-2026 prioriterade fågelarter.docx", "A 37080-2026")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46308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55962-2023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46308</v>
      </c>
      <c r="F16" t="inlineStr">
        <is>
          <t>UPPSALA LÄN</t>
        </is>
      </c>
      <c r="G16" t="inlineStr">
        <is>
          <t>HÅBO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Bolmört</t>
        </is>
      </c>
      <c r="W16">
        <f>HYPERLINK("https://klasma.github.io/Logging_0305/artfynd/A 55962-2023 artfynd.xlsx", "A 55962-2023")</f>
        <v/>
      </c>
      <c r="X16">
        <f>HYPERLINK("https://klasma.github.io/Logging_0305/kartor/A 55962-2023 karta.png", "A 55962-2023")</f>
        <v/>
      </c>
      <c r="Y16">
        <f>HYPERLINK("https://klasma.github.io/Logging_0305/kartor_geotiff/A 55962-2023 georefererad karta.tif", "A 55962-2023")</f>
        <v/>
      </c>
      <c r="AA16">
        <f>HYPERLINK("https://klasma.github.io/Logging_0305/klagomål/A 55962-2023 FSC-klagomål.docx", "A 55962-2023")</f>
        <v/>
      </c>
      <c r="AB16">
        <f>HYPERLINK("https://klasma.github.io/Logging_0305/klagomålsmail/A 55962-2023 FSC-klagomål mail.docx", "A 55962-2023")</f>
        <v/>
      </c>
      <c r="AC16">
        <f>HYPERLINK("https://klasma.github.io/Logging_0305/tillsyn/A 55962-2023 tillsynsbegäran.docx", "A 55962-2023")</f>
        <v/>
      </c>
      <c r="AD16">
        <f>HYPERLINK("https://klasma.github.io/Logging_0305/tillsynsmail/A 55962-2023 tillsynsbegäran mail.docx", "A 55962-2023")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46308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27484-2026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46308</v>
      </c>
      <c r="F18" t="inlineStr">
        <is>
          <t>UPPSALA LÄN</t>
        </is>
      </c>
      <c r="G18" t="inlineStr">
        <is>
          <t>HÅBO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46308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46308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46308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46308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46308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46308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46308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46308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46308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46308</v>
      </c>
      <c r="F28" t="inlineStr">
        <is>
          <t>UPPSALA LÄN</t>
        </is>
      </c>
      <c r="G28" t="inlineStr">
        <is>
          <t>HÅBO</t>
        </is>
      </c>
      <c r="I28" t="n">
        <v>20.9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46308</v>
      </c>
      <c r="F29" t="inlineStr">
        <is>
          <t>UPPSALA LÄN</t>
        </is>
      </c>
      <c r="G29" t="inlineStr">
        <is>
          <t>HÅBO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65836-2021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46308</v>
      </c>
      <c r="F30" t="inlineStr">
        <is>
          <t>UPPSALA LÄN</t>
        </is>
      </c>
      <c r="G30" t="inlineStr">
        <is>
          <t>HÅBO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46308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46308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2026-10-13T01:59:19Z</dcterms:created>
  <dcterms:modified xmlns:dcterms="http://purl.org/dc/terms/" xmlns:xsi="http://www.w3.org/2001/XMLSchema-instance" xsi:type="dcterms:W3CDTF">2026-10-13T01:59:19Z</dcterms:modified>
</cp:coreProperties>
</file>