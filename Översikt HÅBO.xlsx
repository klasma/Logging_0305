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46033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46033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46033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46033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46033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46033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46033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46033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46033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46033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2474-2021</t>
        </is>
      </c>
      <c r="B12" s="1" t="n">
        <v>44214</v>
      </c>
      <c r="C12" s="1" t="n">
        <v>46033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Fyrflikig jordstjärna</t>
        </is>
      </c>
      <c r="S12">
        <f>HYPERLINK("https://klasma.github.io/Logging_0305/artfynd/A 2474-2021 artfynd.xlsx", "A 2474-2021")</f>
        <v/>
      </c>
      <c r="T12">
        <f>HYPERLINK("https://klasma.github.io/Logging_0305/kartor/A 2474-2021 karta.png", "A 2474-2021")</f>
        <v/>
      </c>
      <c r="V12">
        <f>HYPERLINK("https://klasma.github.io/Logging_0305/klagomål/A 2474-2021 FSC-klagomål.docx", "A 2474-2021")</f>
        <v/>
      </c>
      <c r="W12">
        <f>HYPERLINK("https://klasma.github.io/Logging_0305/klagomålsmail/A 2474-2021 FSC-klagomål mail.docx", "A 2474-2021")</f>
        <v/>
      </c>
      <c r="X12">
        <f>HYPERLINK("https://klasma.github.io/Logging_0305/tillsyn/A 2474-2021 tillsynsbegäran.docx", "A 2474-2021")</f>
        <v/>
      </c>
      <c r="Y12">
        <f>HYPERLINK("https://klasma.github.io/Logging_0305/tillsynsmail/A 2474-2021 tillsynsbegäran mail.docx", "A 2474-2021")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46033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46033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44998.47842592592</v>
      </c>
      <c r="C15" s="1" t="n">
        <v>46033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23370-2025</t>
        </is>
      </c>
      <c r="B16" s="1" t="n">
        <v>45791.70907407408</v>
      </c>
      <c r="C16" s="1" t="n">
        <v>46033</v>
      </c>
      <c r="D16" t="inlineStr">
        <is>
          <t>UPPSALA LÄN</t>
        </is>
      </c>
      <c r="E16" t="inlineStr">
        <is>
          <t>HÅBO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32023-2023</t>
        </is>
      </c>
      <c r="B17" s="1" t="n">
        <v>45119.49833333334</v>
      </c>
      <c r="C17" s="1" t="n">
        <v>46033</v>
      </c>
      <c r="D17" t="inlineStr">
        <is>
          <t>UPPSALA LÄN</t>
        </is>
      </c>
      <c r="E17" t="inlineStr">
        <is>
          <t>HÅBO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4524-2024</t>
        </is>
      </c>
      <c r="B18" s="1" t="n">
        <v>45327</v>
      </c>
      <c r="C18" s="1" t="n">
        <v>46033</v>
      </c>
      <c r="D18" t="inlineStr">
        <is>
          <t>UPPSALA LÄN</t>
        </is>
      </c>
      <c r="E18" t="inlineStr">
        <is>
          <t>HÅBO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37415-2023</t>
        </is>
      </c>
      <c r="B19" s="1" t="n">
        <v>45155</v>
      </c>
      <c r="C19" s="1" t="n">
        <v>46033</v>
      </c>
      <c r="D19" t="inlineStr">
        <is>
          <t>UPPSALA LÄN</t>
        </is>
      </c>
      <c r="E19" t="inlineStr">
        <is>
          <t>HÅBO</t>
        </is>
      </c>
      <c r="G19" t="n">
        <v>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55962-2023</t>
        </is>
      </c>
      <c r="B20" s="1" t="n">
        <v>45240</v>
      </c>
      <c r="C20" s="1" t="n">
        <v>46033</v>
      </c>
      <c r="D20" t="inlineStr">
        <is>
          <t>UPPSALA LÄN</t>
        </is>
      </c>
      <c r="E20" t="inlineStr">
        <is>
          <t>HÅBO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45406-2025</t>
        </is>
      </c>
      <c r="B21" s="1" t="n">
        <v>45922.42936342592</v>
      </c>
      <c r="C21" s="1" t="n">
        <v>46033</v>
      </c>
      <c r="D21" t="inlineStr">
        <is>
          <t>UPPSALA LÄN</t>
        </is>
      </c>
      <c r="E21" t="inlineStr">
        <is>
          <t>HÅBO</t>
        </is>
      </c>
      <c r="G21" t="n">
        <v>9.1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11989-2025</t>
        </is>
      </c>
      <c r="B22" s="1" t="n">
        <v>45728.60074074074</v>
      </c>
      <c r="C22" s="1" t="n">
        <v>46033</v>
      </c>
      <c r="D22" t="inlineStr">
        <is>
          <t>UPPSALA LÄN</t>
        </is>
      </c>
      <c r="E22" t="inlineStr">
        <is>
          <t>HÅBO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35198-2025</t>
        </is>
      </c>
      <c r="B23" s="1" t="n">
        <v>45853</v>
      </c>
      <c r="C23" s="1" t="n">
        <v>46033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35300-2025</t>
        </is>
      </c>
      <c r="B24" s="1" t="n">
        <v>45854.41511574074</v>
      </c>
      <c r="C24" s="1" t="n">
        <v>46033</v>
      </c>
      <c r="D24" t="inlineStr">
        <is>
          <t>UPPSALA LÄN</t>
        </is>
      </c>
      <c r="E24" t="inlineStr">
        <is>
          <t>HÅBO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35193-2025</t>
        </is>
      </c>
      <c r="B25" s="1" t="n">
        <v>45853</v>
      </c>
      <c r="C25" s="1" t="n">
        <v>46033</v>
      </c>
      <c r="D25" t="inlineStr">
        <is>
          <t>UPPSALA LÄN</t>
        </is>
      </c>
      <c r="E25" t="inlineStr">
        <is>
          <t>HÅBO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37410-2023</t>
        </is>
      </c>
      <c r="B26" s="1" t="n">
        <v>45155</v>
      </c>
      <c r="C26" s="1" t="n">
        <v>46033</v>
      </c>
      <c r="D26" t="inlineStr">
        <is>
          <t>UPPSALA LÄN</t>
        </is>
      </c>
      <c r="E26" t="inlineStr">
        <is>
          <t>HÅBO</t>
        </is>
      </c>
      <c r="G26" t="n">
        <v>20.9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12156-2023</t>
        </is>
      </c>
      <c r="B27" s="1" t="n">
        <v>44998.49157407408</v>
      </c>
      <c r="C27" s="1" t="n">
        <v>46033</v>
      </c>
      <c r="D27" t="inlineStr">
        <is>
          <t>UPPSALA LÄN</t>
        </is>
      </c>
      <c r="E27" t="inlineStr">
        <is>
          <t>HÅBO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65836-2021</t>
        </is>
      </c>
      <c r="B28" s="1" t="n">
        <v>44517</v>
      </c>
      <c r="C28" s="1" t="n">
        <v>46033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34202-2022</t>
        </is>
      </c>
      <c r="B29" s="1" t="n">
        <v>44791.64837962963</v>
      </c>
      <c r="C29" s="1" t="n">
        <v>46033</v>
      </c>
      <c r="D29" t="inlineStr">
        <is>
          <t>UPPSALA LÄN</t>
        </is>
      </c>
      <c r="E29" t="inlineStr">
        <is>
          <t>HÅBO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12154-2023</t>
        </is>
      </c>
      <c r="B30" s="1" t="n">
        <v>44998</v>
      </c>
      <c r="C30" s="1" t="n">
        <v>46033</v>
      </c>
      <c r="D30" t="inlineStr">
        <is>
          <t>UPPSALA LÄN</t>
        </is>
      </c>
      <c r="E30" t="inlineStr">
        <is>
          <t>HÅBO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67005-2021</t>
        </is>
      </c>
      <c r="B31" s="1" t="n">
        <v>44522</v>
      </c>
      <c r="C31" s="1" t="n">
        <v>46033</v>
      </c>
      <c r="D31" t="inlineStr">
        <is>
          <t>UPPSALA LÄN</t>
        </is>
      </c>
      <c r="E31" t="inlineStr">
        <is>
          <t>HÅBO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15732-2025</t>
        </is>
      </c>
      <c r="B32" s="1" t="n">
        <v>45747</v>
      </c>
      <c r="C32" s="1" t="n">
        <v>46033</v>
      </c>
      <c r="D32" t="inlineStr">
        <is>
          <t>UPPSALA LÄN</t>
        </is>
      </c>
      <c r="E32" t="inlineStr">
        <is>
          <t>HÅBO</t>
        </is>
      </c>
      <c r="F32" t="inlineStr">
        <is>
          <t>Kyrkan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23250-2022</t>
        </is>
      </c>
      <c r="B33" s="1" t="n">
        <v>44719</v>
      </c>
      <c r="C33" s="1" t="n">
        <v>46033</v>
      </c>
      <c r="D33" t="inlineStr">
        <is>
          <t>UPPSALA LÄN</t>
        </is>
      </c>
      <c r="E33" t="inlineStr">
        <is>
          <t>HÅBO</t>
        </is>
      </c>
      <c r="F33" t="inlineStr">
        <is>
          <t>Naturvårdsverket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2026-01-11T10:53:57Z</dcterms:created>
  <dcterms:modified xmlns:dcterms="http://purl.org/dc/terms/" xmlns:xsi="http://www.w3.org/2001/XMLSchema-instance" xsi:type="dcterms:W3CDTF">2026-01-11T10:53:57Z</dcterms:modified>
</cp:coreProperties>
</file>