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46135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46135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46135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4521-2024</t>
        </is>
      </c>
      <c r="B5" s="1" t="n">
        <v>45327</v>
      </c>
      <c r="C5" s="1" t="n">
        <v>46135</v>
      </c>
      <c r="D5" t="inlineStr">
        <is>
          <t>UPPSALA LÄN</t>
        </is>
      </c>
      <c r="E5" t="inlineStr">
        <is>
          <t>HÅBO</t>
        </is>
      </c>
      <c r="G5" t="n">
        <v>17.4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Fjällig taggsvamp s.str.</t>
        </is>
      </c>
      <c r="S5">
        <f>HYPERLINK("https://klasma.github.io/Logging_0305/artfynd/A 4521-2024 artfynd.xlsx", "A 4521-2024")</f>
        <v/>
      </c>
      <c r="T5">
        <f>HYPERLINK("https://klasma.github.io/Logging_0305/kartor/A 4521-2024 karta.png", "A 4521-2024")</f>
        <v/>
      </c>
      <c r="V5">
        <f>HYPERLINK("https://klasma.github.io/Logging_0305/klagomål/A 4521-2024 FSC-klagomål.docx", "A 4521-2024")</f>
        <v/>
      </c>
      <c r="W5">
        <f>HYPERLINK("https://klasma.github.io/Logging_0305/klagomålsmail/A 4521-2024 FSC-klagomål mail.docx", "A 4521-2024")</f>
        <v/>
      </c>
      <c r="X5">
        <f>HYPERLINK("https://klasma.github.io/Logging_0305/tillsyn/A 4521-2024 tillsynsbegäran.docx", "A 4521-2024")</f>
        <v/>
      </c>
      <c r="Y5">
        <f>HYPERLINK("https://klasma.github.io/Logging_0305/tillsynsmail/A 4521-2024 tillsynsbegäran mail.docx", "A 4521-2024")</f>
        <v/>
      </c>
      <c r="Z5">
        <f>HYPERLINK("https://klasma.github.io/Logging_0305/fåglar/A 4521-2024 prioriterade fågelarter.docx", "A 4521-2024")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46135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46135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46135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46135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46135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46135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12154-2023</t>
        </is>
      </c>
      <c r="B12" s="1" t="n">
        <v>44998</v>
      </c>
      <c r="C12" s="1" t="n">
        <v>46135</v>
      </c>
      <c r="D12" t="inlineStr">
        <is>
          <t>UPPSALA LÄN</t>
        </is>
      </c>
      <c r="E12" t="inlineStr">
        <is>
          <t>HÅBO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67005-2021</t>
        </is>
      </c>
      <c r="B13" s="1" t="n">
        <v>44522</v>
      </c>
      <c r="C13" s="1" t="n">
        <v>46135</v>
      </c>
      <c r="D13" t="inlineStr">
        <is>
          <t>UPPSALA LÄN</t>
        </is>
      </c>
      <c r="E13" t="inlineStr">
        <is>
          <t>HÅBO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35193-2025</t>
        </is>
      </c>
      <c r="B14" s="1" t="n">
        <v>45853</v>
      </c>
      <c r="C14" s="1" t="n">
        <v>46135</v>
      </c>
      <c r="D14" t="inlineStr">
        <is>
          <t>UPPSALA LÄN</t>
        </is>
      </c>
      <c r="E14" t="inlineStr">
        <is>
          <t>HÅBO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12146-2023</t>
        </is>
      </c>
      <c r="B15" s="1" t="n">
        <v>44998.47842592592</v>
      </c>
      <c r="C15" s="1" t="n">
        <v>46135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32023-2023</t>
        </is>
      </c>
      <c r="B16" s="1" t="n">
        <v>45119.49833333334</v>
      </c>
      <c r="C16" s="1" t="n">
        <v>46135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4524-2024</t>
        </is>
      </c>
      <c r="B17" s="1" t="n">
        <v>45327</v>
      </c>
      <c r="C17" s="1" t="n">
        <v>46135</v>
      </c>
      <c r="D17" t="inlineStr">
        <is>
          <t>UPPSALA LÄN</t>
        </is>
      </c>
      <c r="E17" t="inlineStr">
        <is>
          <t>HÅBO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15732-2025</t>
        </is>
      </c>
      <c r="B18" s="1" t="n">
        <v>45747</v>
      </c>
      <c r="C18" s="1" t="n">
        <v>46135</v>
      </c>
      <c r="D18" t="inlineStr">
        <is>
          <t>UPPSALA LÄN</t>
        </is>
      </c>
      <c r="E18" t="inlineStr">
        <is>
          <t>HÅBO</t>
        </is>
      </c>
      <c r="F18" t="inlineStr">
        <is>
          <t>Kyrkan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8486-2026</t>
        </is>
      </c>
      <c r="B19" s="1" t="n">
        <v>46064</v>
      </c>
      <c r="C19" s="1" t="n">
        <v>46135</v>
      </c>
      <c r="D19" t="inlineStr">
        <is>
          <t>UPPSALA LÄN</t>
        </is>
      </c>
      <c r="E19" t="inlineStr">
        <is>
          <t>HÅBO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23250-2022</t>
        </is>
      </c>
      <c r="B20" s="1" t="n">
        <v>44719</v>
      </c>
      <c r="C20" s="1" t="n">
        <v>46135</v>
      </c>
      <c r="D20" t="inlineStr">
        <is>
          <t>UPPSALA LÄN</t>
        </is>
      </c>
      <c r="E20" t="inlineStr">
        <is>
          <t>HÅBO</t>
        </is>
      </c>
      <c r="F20" t="inlineStr">
        <is>
          <t>Naturvårdsverket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15607-2026</t>
        </is>
      </c>
      <c r="B21" s="1" t="n">
        <v>46106.59606481482</v>
      </c>
      <c r="C21" s="1" t="n">
        <v>46135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16404-2026</t>
        </is>
      </c>
      <c r="B22" s="1" t="n">
        <v>46111.64237268519</v>
      </c>
      <c r="C22" s="1" t="n">
        <v>46135</v>
      </c>
      <c r="D22" t="inlineStr">
        <is>
          <t>UPPSALA LÄN</t>
        </is>
      </c>
      <c r="E22" t="inlineStr">
        <is>
          <t>HÅBO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16325-2026</t>
        </is>
      </c>
      <c r="B23" s="1" t="n">
        <v>46111.56655092593</v>
      </c>
      <c r="C23" s="1" t="n">
        <v>46135</v>
      </c>
      <c r="D23" t="inlineStr">
        <is>
          <t>UPPSALA LÄN</t>
        </is>
      </c>
      <c r="E23" t="inlineStr">
        <is>
          <t>HÅBO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45406-2025</t>
        </is>
      </c>
      <c r="B24" s="1" t="n">
        <v>45922.42936342592</v>
      </c>
      <c r="C24" s="1" t="n">
        <v>46135</v>
      </c>
      <c r="D24" t="inlineStr">
        <is>
          <t>UPPSALA LÄN</t>
        </is>
      </c>
      <c r="E24" t="inlineStr">
        <is>
          <t>HÅBO</t>
        </is>
      </c>
      <c r="G24" t="n">
        <v>9.1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11997-2026</t>
        </is>
      </c>
      <c r="B25" s="1" t="n">
        <v>46085.66461805555</v>
      </c>
      <c r="C25" s="1" t="n">
        <v>46135</v>
      </c>
      <c r="D25" t="inlineStr">
        <is>
          <t>UPPSALA LÄN</t>
        </is>
      </c>
      <c r="E25" t="inlineStr">
        <is>
          <t>HÅBO</t>
        </is>
      </c>
      <c r="F25" t="inlineStr">
        <is>
          <t>Övriga statliga verk och myndigheter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37415-2023</t>
        </is>
      </c>
      <c r="B26" s="1" t="n">
        <v>45155</v>
      </c>
      <c r="C26" s="1" t="n">
        <v>46135</v>
      </c>
      <c r="D26" t="inlineStr">
        <is>
          <t>UPPSALA LÄN</t>
        </is>
      </c>
      <c r="E26" t="inlineStr">
        <is>
          <t>HÅBO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55962-2023</t>
        </is>
      </c>
      <c r="B27" s="1" t="n">
        <v>45240</v>
      </c>
      <c r="C27" s="1" t="n">
        <v>46135</v>
      </c>
      <c r="D27" t="inlineStr">
        <is>
          <t>UPPSALA LÄN</t>
        </is>
      </c>
      <c r="E27" t="inlineStr">
        <is>
          <t>HÅBO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11989-2025</t>
        </is>
      </c>
      <c r="B28" s="1" t="n">
        <v>45728.60074074074</v>
      </c>
      <c r="C28" s="1" t="n">
        <v>46135</v>
      </c>
      <c r="D28" t="inlineStr">
        <is>
          <t>UPPSALA LÄN</t>
        </is>
      </c>
      <c r="E28" t="inlineStr">
        <is>
          <t>HÅBO</t>
        </is>
      </c>
      <c r="G28" t="n">
        <v>9.6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23370-2025</t>
        </is>
      </c>
      <c r="B29" s="1" t="n">
        <v>45791.70907407408</v>
      </c>
      <c r="C29" s="1" t="n">
        <v>46135</v>
      </c>
      <c r="D29" t="inlineStr">
        <is>
          <t>UPPSALA LÄN</t>
        </is>
      </c>
      <c r="E29" t="inlineStr">
        <is>
          <t>HÅBO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35198-2025</t>
        </is>
      </c>
      <c r="B30" s="1" t="n">
        <v>45853</v>
      </c>
      <c r="C30" s="1" t="n">
        <v>46135</v>
      </c>
      <c r="D30" t="inlineStr">
        <is>
          <t>UPPSALA LÄN</t>
        </is>
      </c>
      <c r="E30" t="inlineStr">
        <is>
          <t>HÅBO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37410-2023</t>
        </is>
      </c>
      <c r="B31" s="1" t="n">
        <v>45155</v>
      </c>
      <c r="C31" s="1" t="n">
        <v>46135</v>
      </c>
      <c r="D31" t="inlineStr">
        <is>
          <t>UPPSALA LÄN</t>
        </is>
      </c>
      <c r="E31" t="inlineStr">
        <is>
          <t>HÅBO</t>
        </is>
      </c>
      <c r="G31" t="n">
        <v>20.9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35300-2025</t>
        </is>
      </c>
      <c r="B32" s="1" t="n">
        <v>45854.41511574074</v>
      </c>
      <c r="C32" s="1" t="n">
        <v>46135</v>
      </c>
      <c r="D32" t="inlineStr">
        <is>
          <t>UPPSALA LÄN</t>
        </is>
      </c>
      <c r="E32" t="inlineStr">
        <is>
          <t>HÅBO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12156-2023</t>
        </is>
      </c>
      <c r="B33" s="1" t="n">
        <v>44998.49157407408</v>
      </c>
      <c r="C33" s="1" t="n">
        <v>46135</v>
      </c>
      <c r="D33" t="inlineStr">
        <is>
          <t>UPPSALA LÄN</t>
        </is>
      </c>
      <c r="E33" t="inlineStr">
        <is>
          <t>HÅBO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46135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34202-2022</t>
        </is>
      </c>
      <c r="B35" s="1" t="n">
        <v>44791.64837962963</v>
      </c>
      <c r="C35" s="1" t="n">
        <v>46135</v>
      </c>
      <c r="D35" t="inlineStr">
        <is>
          <t>UPPSALA LÄN</t>
        </is>
      </c>
      <c r="E35" t="inlineStr">
        <is>
          <t>HÅBO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2026-04-23T10:50:50Z</dcterms:created>
  <dcterms:modified xmlns:dcterms="http://purl.org/dc/terms/" xmlns:xsi="http://www.w3.org/2001/XMLSchema-instance" xsi:type="dcterms:W3CDTF">2026-04-23T10:50:50Z</dcterms:modified>
</cp:coreProperties>
</file>