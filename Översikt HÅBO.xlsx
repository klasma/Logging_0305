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46312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46312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46312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46312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46312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46312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46312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46312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46312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35197-2025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45853</v>
      </c>
      <c r="E11" s="1" t="n">
        <v>46312</v>
      </c>
      <c r="F11" t="inlineStr">
        <is>
          <t>UPPSALA LÄN</t>
        </is>
      </c>
      <c r="G11" t="inlineStr">
        <is>
          <t>HÅBO</t>
        </is>
      </c>
      <c r="I11" t="n">
        <v>0.9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Grönsångare
Tallticka
Vintertagging</t>
        </is>
      </c>
      <c r="W11">
        <f>HYPERLINK("https://klasma.github.io/Logging_0305/artfynd/A 35197-2025 artfynd.xlsx", "A 35197-2025")</f>
        <v/>
      </c>
      <c r="X11">
        <f>HYPERLINK("https://klasma.github.io/Logging_0305/kartor/A 35197-2025 karta.png", "A 35197-2025")</f>
        <v/>
      </c>
      <c r="Y11">
        <f>HYPERLINK("https://klasma.github.io/Logging_0305/kartor_geotiff/A 35197-2025 georefererad karta.tif", "A 35197-2025")</f>
        <v/>
      </c>
      <c r="AA11">
        <f>HYPERLINK("https://klasma.github.io/Logging_0305/klagomål/A 35197-2025 FSC-klagomål.docx", "A 35197-2025")</f>
        <v/>
      </c>
      <c r="AB11">
        <f>HYPERLINK("https://klasma.github.io/Logging_0305/klagomålsmail/A 35197-2025 FSC-klagomål mail.docx", "A 35197-2025")</f>
        <v/>
      </c>
      <c r="AC11">
        <f>HYPERLINK("https://klasma.github.io/Logging_0305/tillsyn/A 35197-2025 tillsynsbegäran.docx", "A 35197-2025")</f>
        <v/>
      </c>
      <c r="AD11">
        <f>HYPERLINK("https://klasma.github.io/Logging_0305/tillsynsmail/A 35197-2025 tillsynsbegäran mail.docx", "A 35197-2025")</f>
        <v/>
      </c>
      <c r="AE11">
        <f>HYPERLINK("https://klasma.github.io/Logging_0305/fåglar/A 35197-2025 prioriterade fågelarter.docx", "A 35197-2025")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46312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46312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37415-2023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46312</v>
      </c>
      <c r="F14" t="inlineStr">
        <is>
          <t>UPPSALA LÄN</t>
        </is>
      </c>
      <c r="G14" t="inlineStr">
        <is>
          <t>HÅBO</t>
        </is>
      </c>
      <c r="I14" t="n">
        <v>6.6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HYPERLINK("https://klasma.github.io/Logging_0305/artfynd/A 37415-2023 artfynd.xlsx", "A 37415-2023")</f>
        <v/>
      </c>
      <c r="X14">
        <f>HYPERLINK("https://klasma.github.io/Logging_0305/kartor/A 37415-2023 karta.png", "A 37415-2023")</f>
        <v/>
      </c>
      <c r="Y14">
        <f>HYPERLINK("https://klasma.github.io/Logging_0305/kartor_geotiff/A 37415-2023 georefererad karta.tif", "A 37415-2023")</f>
        <v/>
      </c>
      <c r="AA14">
        <f>HYPERLINK("https://klasma.github.io/Logging_0305/klagomål/A 37415-2023 FSC-klagomål.docx", "A 37415-2023")</f>
        <v/>
      </c>
      <c r="AB14">
        <f>HYPERLINK("https://klasma.github.io/Logging_0305/klagomålsmail/A 37415-2023 FSC-klagomål mail.docx", "A 37415-2023")</f>
        <v/>
      </c>
      <c r="AC14">
        <f>HYPERLINK("https://klasma.github.io/Logging_0305/tillsyn/A 37415-2023 tillsynsbegäran.docx", "A 37415-2023")</f>
        <v/>
      </c>
      <c r="AD14">
        <f>HYPERLINK("https://klasma.github.io/Logging_0305/tillsynsmail/A 37415-2023 tillsynsbegäran mail.docx", "A 37415-2023")</f>
        <v/>
      </c>
      <c r="AE14">
        <f>HYPERLINK("https://klasma.github.io/Logging_0305/fåglar/A 37415-2023 prioriterade fågelarter.docx", "A 37415-2023")</f>
        <v/>
      </c>
    </row>
    <row r="15" ht="15" customHeight="1">
      <c r="A15" t="inlineStr">
        <is>
          <t>A 55962-2023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45240</v>
      </c>
      <c r="E15" s="1" t="n">
        <v>46312</v>
      </c>
      <c r="F15" t="inlineStr">
        <is>
          <t>UPPSALA LÄN</t>
        </is>
      </c>
      <c r="G15" t="inlineStr">
        <is>
          <t>HÅBO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Bolmört</t>
        </is>
      </c>
      <c r="W15">
        <f>HYPERLINK("https://klasma.github.io/Logging_0305/artfynd/A 55962-2023 artfynd.xlsx", "A 55962-2023")</f>
        <v/>
      </c>
      <c r="X15">
        <f>HYPERLINK("https://klasma.github.io/Logging_0305/kartor/A 55962-2023 karta.png", "A 55962-2023")</f>
        <v/>
      </c>
      <c r="Y15">
        <f>HYPERLINK("https://klasma.github.io/Logging_0305/kartor_geotiff/A 55962-2023 georefererad karta.tif", "A 55962-2023")</f>
        <v/>
      </c>
      <c r="AA15">
        <f>HYPERLINK("https://klasma.github.io/Logging_0305/klagomål/A 55962-2023 FSC-klagomål.docx", "A 55962-2023")</f>
        <v/>
      </c>
      <c r="AB15">
        <f>HYPERLINK("https://klasma.github.io/Logging_0305/klagomålsmail/A 55962-2023 FSC-klagomål mail.docx", "A 55962-2023")</f>
        <v/>
      </c>
      <c r="AC15">
        <f>HYPERLINK("https://klasma.github.io/Logging_0305/tillsyn/A 55962-2023 tillsynsbegäran.docx", "A 55962-2023")</f>
        <v/>
      </c>
      <c r="AD15">
        <f>HYPERLINK("https://klasma.github.io/Logging_0305/tillsynsmail/A 55962-2023 tillsynsbegäran mail.docx", "A 55962-2023")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46312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46312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46312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46312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4524-2024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46312</v>
      </c>
      <c r="F20" t="inlineStr">
        <is>
          <t>UPPSALA LÄN</t>
        </is>
      </c>
      <c r="G20" t="inlineStr">
        <is>
          <t>HÅBO</t>
        </is>
      </c>
      <c r="I20" t="n">
        <v>4.6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35300-2025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45854</v>
      </c>
      <c r="E21" s="1" t="n">
        <v>46312</v>
      </c>
      <c r="F21" t="inlineStr">
        <is>
          <t>UPPSALA LÄN</t>
        </is>
      </c>
      <c r="G21" t="inlineStr">
        <is>
          <t>HÅBO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46312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46312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65836-2021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44517</v>
      </c>
      <c r="E24" s="1" t="n">
        <v>46312</v>
      </c>
      <c r="F24" t="inlineStr">
        <is>
          <t>UPPSALA LÄN</t>
        </is>
      </c>
      <c r="G24" t="inlineStr">
        <is>
          <t>HÅBO</t>
        </is>
      </c>
      <c r="I24" t="n">
        <v>1.8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8486-2026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46064</v>
      </c>
      <c r="E25" s="1" t="n">
        <v>46312</v>
      </c>
      <c r="F25" t="inlineStr">
        <is>
          <t>UPPSALA LÄN</t>
        </is>
      </c>
      <c r="G25" t="inlineStr">
        <is>
          <t>HÅBO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27484-2026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46185</v>
      </c>
      <c r="E26" s="1" t="n">
        <v>46312</v>
      </c>
      <c r="F26" t="inlineStr">
        <is>
          <t>UPPSALA LÄN</t>
        </is>
      </c>
      <c r="G26" t="inlineStr">
        <is>
          <t>HÅBO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11997-2026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46085</v>
      </c>
      <c r="E27" s="1" t="n">
        <v>46312</v>
      </c>
      <c r="F27" t="inlineStr">
        <is>
          <t>UPPSALA LÄN</t>
        </is>
      </c>
      <c r="G27" t="inlineStr">
        <is>
          <t>HÅBO</t>
        </is>
      </c>
      <c r="H27" t="inlineStr">
        <is>
          <t>Övriga statliga verk och myndigheter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34202-2022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44791</v>
      </c>
      <c r="E28" s="1" t="n">
        <v>46312</v>
      </c>
      <c r="F28" t="inlineStr">
        <is>
          <t>UPPSALA LÄN</t>
        </is>
      </c>
      <c r="G28" t="inlineStr">
        <is>
          <t>HÅBO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44998</v>
      </c>
      <c r="E29" s="1" t="n">
        <v>46312</v>
      </c>
      <c r="F29" t="inlineStr">
        <is>
          <t>UPPSALA LÄN</t>
        </is>
      </c>
      <c r="G29" t="inlineStr">
        <is>
          <t>HÅBO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15607-2026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46106</v>
      </c>
      <c r="E30" s="1" t="n">
        <v>46312</v>
      </c>
      <c r="F30" t="inlineStr">
        <is>
          <t>UPPSALA LÄN</t>
        </is>
      </c>
      <c r="G30" t="inlineStr">
        <is>
          <t>HÅBO</t>
        </is>
      </c>
      <c r="H30" t="inlineStr">
        <is>
          <t>Övriga statliga verk och myndigheter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16404-2026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46111</v>
      </c>
      <c r="E31" s="1" t="n">
        <v>46312</v>
      </c>
      <c r="F31" t="inlineStr">
        <is>
          <t>UPPSALA LÄN</t>
        </is>
      </c>
      <c r="G31" t="inlineStr">
        <is>
          <t>HÅBO</t>
        </is>
      </c>
      <c r="I31" t="n">
        <v>3.6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16325-2026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46111</v>
      </c>
      <c r="E32" s="1" t="n">
        <v>46312</v>
      </c>
      <c r="F32" t="inlineStr">
        <is>
          <t>UPPSALA LÄN</t>
        </is>
      </c>
      <c r="G32" t="inlineStr">
        <is>
          <t>HÅBO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2026-10-17T02:02:20Z</dcterms:created>
  <dcterms:modified xmlns:dcterms="http://purl.org/dc/terms/" xmlns:xsi="http://www.w3.org/2001/XMLSchema-instance" xsi:type="dcterms:W3CDTF">2026-10-17T02:02:20Z</dcterms:modified>
</cp:coreProperties>
</file>