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46226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46226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46226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46226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46226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46226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37417-2023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45155</v>
      </c>
      <c r="E8" s="1" t="n">
        <v>46226</v>
      </c>
      <c r="F8" t="inlineStr">
        <is>
          <t>UPPSALA LÄN</t>
        </is>
      </c>
      <c r="G8" t="inlineStr">
        <is>
          <t>HÅBO</t>
        </is>
      </c>
      <c r="I8" t="n">
        <v>12.9</v>
      </c>
      <c r="J8" t="n">
        <v>2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4</v>
      </c>
      <c r="U8" t="n">
        <v>4</v>
      </c>
      <c r="V8" s="2" t="inlineStr">
        <is>
          <t>Knärot
Ullticka
Blåsippa</t>
        </is>
      </c>
      <c r="W8">
        <f>HYPERLINK("https://klasma.github.io/Logging_0305/artfynd/A 37417-2023 artfynd.xlsx", "A 37417-2023")</f>
        <v/>
      </c>
      <c r="X8">
        <f>HYPERLINK("https://klasma.github.io/Logging_0305/kartor/A 37417-2023 karta.png", "A 37417-2023")</f>
        <v/>
      </c>
      <c r="Y8">
        <f>HYPERLINK("https://klasma.github.io/Logging_0305/kartor_geotiff/A 37417-2023 georefererad karta.tif", "A 37417-2023")</f>
        <v/>
      </c>
      <c r="Z8">
        <f>HYPERLINK("https://klasma.github.io/Logging_0305/knärot/A 37417-2023 karta knärot.png", "A 37417-2023")</f>
        <v/>
      </c>
      <c r="AA8">
        <f>HYPERLINK("https://klasma.github.io/Logging_0305/klagomål/A 37417-2023 FSC-klagomål.docx", "A 37417-2023")</f>
        <v/>
      </c>
      <c r="AB8">
        <f>HYPERLINK("https://klasma.github.io/Logging_0305/klagomålsmail/A 37417-2023 FSC-klagomål mail.docx", "A 37417-2023")</f>
        <v/>
      </c>
      <c r="AC8">
        <f>HYPERLINK("https://klasma.github.io/Logging_0305/tillsyn/A 37417-2023 tillsynsbegäran.docx", "A 37417-2023")</f>
        <v/>
      </c>
      <c r="AD8">
        <f>HYPERLINK("https://klasma.github.io/Logging_0305/tillsynsmail/A 37417-2023 tillsynsbegäran mail.docx", "A 37417-2023")</f>
        <v/>
      </c>
    </row>
    <row r="9" ht="15" customHeight="1">
      <c r="A9" t="inlineStr">
        <is>
          <t>A 35197-2025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45853</v>
      </c>
      <c r="E9" s="1" t="n">
        <v>46226</v>
      </c>
      <c r="F9" t="inlineStr">
        <is>
          <t>UPPSALA LÄN</t>
        </is>
      </c>
      <c r="G9" t="inlineStr">
        <is>
          <t>HÅBO</t>
        </is>
      </c>
      <c r="I9" t="n">
        <v>0.9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5</v>
      </c>
      <c r="U9" t="n">
        <v>0</v>
      </c>
      <c r="V9" s="2" t="inlineStr">
        <is>
          <t>Grönsångare
Tallticka
Vintertagging</t>
        </is>
      </c>
      <c r="W9">
        <f>HYPERLINK("https://klasma.github.io/Logging_0305/artfynd/A 35197-2025 artfynd.xlsx", "A 35197-2025")</f>
        <v/>
      </c>
      <c r="X9">
        <f>HYPERLINK("https://klasma.github.io/Logging_0305/kartor/A 35197-2025 karta.png", "A 35197-2025")</f>
        <v/>
      </c>
      <c r="Y9">
        <f>HYPERLINK("https://klasma.github.io/Logging_0305/kartor_geotiff/A 35197-2025 georefererad karta.tif", "A 35197-2025")</f>
        <v/>
      </c>
      <c r="AA9">
        <f>HYPERLINK("https://klasma.github.io/Logging_0305/klagomål/A 35197-2025 FSC-klagomål.docx", "A 35197-2025")</f>
        <v/>
      </c>
      <c r="AB9">
        <f>HYPERLINK("https://klasma.github.io/Logging_0305/klagomålsmail/A 35197-2025 FSC-klagomål mail.docx", "A 35197-2025")</f>
        <v/>
      </c>
      <c r="AC9">
        <f>HYPERLINK("https://klasma.github.io/Logging_0305/tillsyn/A 35197-2025 tillsynsbegäran.docx", "A 35197-2025")</f>
        <v/>
      </c>
      <c r="AD9">
        <f>HYPERLINK("https://klasma.github.io/Logging_0305/tillsynsmail/A 35197-2025 tillsynsbegäran mail.docx", "A 35197-2025")</f>
        <v/>
      </c>
      <c r="AE9">
        <f>HYPERLINK("https://klasma.github.io/Logging_0305/fåglar/A 35197-2025 prioriterade fågelarter.docx", "A 35197-2025")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46226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46226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46226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37415-2023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45155</v>
      </c>
      <c r="E13" s="1" t="n">
        <v>46226</v>
      </c>
      <c r="F13" t="inlineStr">
        <is>
          <t>UPPSALA LÄN</t>
        </is>
      </c>
      <c r="G13" t="inlineStr">
        <is>
          <t>HÅBO</t>
        </is>
      </c>
      <c r="I13" t="n">
        <v>6.6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HYPERLINK("https://klasma.github.io/Logging_0305/artfynd/A 37415-2023 artfynd.xlsx", "A 37415-2023")</f>
        <v/>
      </c>
      <c r="X13">
        <f>HYPERLINK("https://klasma.github.io/Logging_0305/kartor/A 37415-2023 karta.png", "A 37415-2023")</f>
        <v/>
      </c>
      <c r="Y13">
        <f>HYPERLINK("https://klasma.github.io/Logging_0305/kartor_geotiff/A 37415-2023 georefererad karta.tif", "A 37415-2023")</f>
        <v/>
      </c>
      <c r="AA13">
        <f>HYPERLINK("https://klasma.github.io/Logging_0305/klagomål/A 37415-2023 FSC-klagomål.docx", "A 37415-2023")</f>
        <v/>
      </c>
      <c r="AB13">
        <f>HYPERLINK("https://klasma.github.io/Logging_0305/klagomålsmail/A 37415-2023 FSC-klagomål mail.docx", "A 37415-2023")</f>
        <v/>
      </c>
      <c r="AC13">
        <f>HYPERLINK("https://klasma.github.io/Logging_0305/tillsyn/A 37415-2023 tillsynsbegäran.docx", "A 37415-2023")</f>
        <v/>
      </c>
      <c r="AD13">
        <f>HYPERLINK("https://klasma.github.io/Logging_0305/tillsynsmail/A 37415-2023 tillsynsbegäran mail.docx", "A 37415-2023")</f>
        <v/>
      </c>
      <c r="AE13">
        <f>HYPERLINK("https://klasma.github.io/Logging_0305/fåglar/A 37415-2023 prioriterade fågelarter.docx", "A 37415-2023")</f>
        <v/>
      </c>
    </row>
    <row r="14" ht="15" customHeight="1">
      <c r="A14" t="inlineStr">
        <is>
          <t>A 55962-2023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46226</v>
      </c>
      <c r="F14" t="inlineStr">
        <is>
          <t>UPPSALA LÄN</t>
        </is>
      </c>
      <c r="G14" t="inlineStr">
        <is>
          <t>HÅBO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Bolmört</t>
        </is>
      </c>
      <c r="W14">
        <f>HYPERLINK("https://klasma.github.io/Logging_0305/artfynd/A 55962-2023 artfynd.xlsx", "A 55962-2023")</f>
        <v/>
      </c>
      <c r="X14">
        <f>HYPERLINK("https://klasma.github.io/Logging_0305/kartor/A 55962-2023 karta.png", "A 55962-2023")</f>
        <v/>
      </c>
      <c r="Y14">
        <f>HYPERLINK("https://klasma.github.io/Logging_0305/kartor_geotiff/A 55962-2023 georefererad karta.tif", "A 55962-2023")</f>
        <v/>
      </c>
      <c r="AA14">
        <f>HYPERLINK("https://klasma.github.io/Logging_0305/klagomål/A 55962-2023 FSC-klagomål.docx", "A 55962-2023")</f>
        <v/>
      </c>
      <c r="AB14">
        <f>HYPERLINK("https://klasma.github.io/Logging_0305/klagomålsmail/A 55962-2023 FSC-klagomål mail.docx", "A 55962-2023")</f>
        <v/>
      </c>
      <c r="AC14">
        <f>HYPERLINK("https://klasma.github.io/Logging_0305/tillsyn/A 55962-2023 tillsynsbegäran.docx", "A 55962-2023")</f>
        <v/>
      </c>
      <c r="AD14">
        <f>HYPERLINK("https://klasma.github.io/Logging_0305/tillsynsmail/A 55962-2023 tillsynsbegäran mail.docx", "A 55962-2023")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46226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46226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12146-2023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46226</v>
      </c>
      <c r="F17" t="inlineStr">
        <is>
          <t>UPPSALA LÄN</t>
        </is>
      </c>
      <c r="G17" t="inlineStr">
        <is>
          <t>HÅBO</t>
        </is>
      </c>
      <c r="I17" t="n">
        <v>3.1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32023-2023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45119</v>
      </c>
      <c r="E18" s="1" t="n">
        <v>46226</v>
      </c>
      <c r="F18" t="inlineStr">
        <is>
          <t>UPPSALA LÄN</t>
        </is>
      </c>
      <c r="G18" t="inlineStr">
        <is>
          <t>HÅBO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4524-2024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46226</v>
      </c>
      <c r="F19" t="inlineStr">
        <is>
          <t>UPPSALA LÄN</t>
        </is>
      </c>
      <c r="G19" t="inlineStr">
        <is>
          <t>HÅBO</t>
        </is>
      </c>
      <c r="I19" t="n">
        <v>4.6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8486-2026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46064</v>
      </c>
      <c r="E20" s="1" t="n">
        <v>46226</v>
      </c>
      <c r="F20" t="inlineStr">
        <is>
          <t>UPPSALA LÄN</t>
        </is>
      </c>
      <c r="G20" t="inlineStr">
        <is>
          <t>HÅBO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11997-2026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46085</v>
      </c>
      <c r="E21" s="1" t="n">
        <v>46226</v>
      </c>
      <c r="F21" t="inlineStr">
        <is>
          <t>UPPSALA LÄN</t>
        </is>
      </c>
      <c r="G21" t="inlineStr">
        <is>
          <t>HÅBO</t>
        </is>
      </c>
      <c r="H21" t="inlineStr">
        <is>
          <t>Övriga statliga verk och myndigheter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15607-2026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46106</v>
      </c>
      <c r="E22" s="1" t="n">
        <v>46226</v>
      </c>
      <c r="F22" t="inlineStr">
        <is>
          <t>UPPSALA LÄN</t>
        </is>
      </c>
      <c r="G22" t="inlineStr">
        <is>
          <t>HÅBO</t>
        </is>
      </c>
      <c r="H22" t="inlineStr">
        <is>
          <t>Övriga statliga verk och myndigheter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16404-2026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46111</v>
      </c>
      <c r="E23" s="1" t="n">
        <v>46226</v>
      </c>
      <c r="F23" t="inlineStr">
        <is>
          <t>UPPSALA LÄN</t>
        </is>
      </c>
      <c r="G23" t="inlineStr">
        <is>
          <t>HÅBO</t>
        </is>
      </c>
      <c r="I23" t="n">
        <v>3.6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16325-2026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46111</v>
      </c>
      <c r="E24" s="1" t="n">
        <v>46226</v>
      </c>
      <c r="F24" t="inlineStr">
        <is>
          <t>UPPSALA LÄN</t>
        </is>
      </c>
      <c r="G24" t="inlineStr">
        <is>
          <t>HÅBO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35300-2025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45854</v>
      </c>
      <c r="E25" s="1" t="n">
        <v>46226</v>
      </c>
      <c r="F25" t="inlineStr">
        <is>
          <t>UPPSALA LÄN</t>
        </is>
      </c>
      <c r="G25" t="inlineStr">
        <is>
          <t>HÅBO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37410-2023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45155</v>
      </c>
      <c r="E26" s="1" t="n">
        <v>46226</v>
      </c>
      <c r="F26" t="inlineStr">
        <is>
          <t>UPPSALA LÄN</t>
        </is>
      </c>
      <c r="G26" t="inlineStr">
        <is>
          <t>HÅBO</t>
        </is>
      </c>
      <c r="I26" t="n">
        <v>20.9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12156-2023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44998</v>
      </c>
      <c r="E27" s="1" t="n">
        <v>46226</v>
      </c>
      <c r="F27" t="inlineStr">
        <is>
          <t>UPPSALA LÄN</t>
        </is>
      </c>
      <c r="G27" t="inlineStr">
        <is>
          <t>HÅBO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27484-2026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46185</v>
      </c>
      <c r="E28" s="1" t="n">
        <v>46226</v>
      </c>
      <c r="F28" t="inlineStr">
        <is>
          <t>UPPSALA LÄN</t>
        </is>
      </c>
      <c r="G28" t="inlineStr">
        <is>
          <t>HÅBO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65836-2021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44517</v>
      </c>
      <c r="E29" s="1" t="n">
        <v>46226</v>
      </c>
      <c r="F29" t="inlineStr">
        <is>
          <t>UPPSALA LÄN</t>
        </is>
      </c>
      <c r="G29" t="inlineStr">
        <is>
          <t>HÅBO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34202-2022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44791</v>
      </c>
      <c r="E30" s="1" t="n">
        <v>46226</v>
      </c>
      <c r="F30" t="inlineStr">
        <is>
          <t>UPPSALA LÄN</t>
        </is>
      </c>
      <c r="G30" t="inlineStr">
        <is>
          <t>HÅBO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12154-2023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44998</v>
      </c>
      <c r="E31" s="1" t="n">
        <v>46226</v>
      </c>
      <c r="F31" t="inlineStr">
        <is>
          <t>UPPSALA LÄN</t>
        </is>
      </c>
      <c r="G31" t="inlineStr">
        <is>
          <t>HÅBO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2026-07-23T01:45:13Z</dcterms:created>
  <dcterms:modified xmlns:dcterms="http://purl.org/dc/terms/" xmlns:xsi="http://www.w3.org/2001/XMLSchema-instance" xsi:type="dcterms:W3CDTF">2026-07-23T01:45:13Z</dcterms:modified>
</cp:coreProperties>
</file>