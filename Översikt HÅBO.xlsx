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46302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46302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46302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46302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46302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46302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46302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46302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46302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46302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46302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46302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46302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A 37080-2026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46302</v>
      </c>
      <c r="F15" t="inlineStr">
        <is>
          <t>UPPSALA LÄN</t>
        </is>
      </c>
      <c r="G15" t="inlineStr">
        <is>
          <t>HÅBO</t>
        </is>
      </c>
      <c r="H15" t="inlineStr">
        <is>
          <t>Kyrkan</t>
        </is>
      </c>
      <c r="I15" t="n">
        <v>1.5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Talltita</t>
        </is>
      </c>
      <c r="W15">
        <f>HYPERLINK("https://klasma.github.io/Logging_0305/artfynd/A 37080-2026 artfynd.xlsx", "A 37080-2026")</f>
        <v/>
      </c>
      <c r="X15">
        <f>HYPERLINK("https://klasma.github.io/Logging_0305/kartor/A 37080-2026 karta.png", "A 37080-2026")</f>
        <v/>
      </c>
      <c r="Y15">
        <f>HYPERLINK("https://klasma.github.io/Logging_0305/kartor_geotiff/A 37080-2026 georefererad karta.tif", "A 37080-2026")</f>
        <v/>
      </c>
      <c r="AA15">
        <f>HYPERLINK("https://klasma.github.io/Logging_0305/klagomål/A 37080-2026 FSC-klagomål.docx", "A 37080-2026")</f>
        <v/>
      </c>
      <c r="AB15">
        <f>HYPERLINK("https://klasma.github.io/Logging_0305/klagomålsmail/A 37080-2026 FSC-klagomål mail.docx", "A 37080-2026")</f>
        <v/>
      </c>
      <c r="AC15">
        <f>HYPERLINK("https://klasma.github.io/Logging_0305/tillsyn/A 37080-2026 tillsynsbegäran.docx", "A 37080-2026")</f>
        <v/>
      </c>
      <c r="AD15">
        <f>HYPERLINK("https://klasma.github.io/Logging_0305/tillsynsmail/A 37080-2026 tillsynsbegäran mail.docx", "A 37080-2026")</f>
        <v/>
      </c>
      <c r="AE15">
        <f>HYPERLINK("https://klasma.github.io/Logging_0305/fåglar/A 37080-2026 prioriterade fågelarter.docx", "A 37080-2026")</f>
        <v/>
      </c>
    </row>
    <row r="16" ht="15" customHeight="1">
      <c r="A16" t="inlineStr">
        <is>
          <t>S 3579-2023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45211</v>
      </c>
      <c r="E16" s="1" t="n">
        <v>46302</v>
      </c>
      <c r="F16" t="inlineStr">
        <is>
          <t>UPPSALA LÄN</t>
        </is>
      </c>
      <c r="G16" t="inlineStr">
        <is>
          <t>HÅBO</t>
        </is>
      </c>
      <c r="H16" t="inlineStr">
        <is>
          <t>Kommuner</t>
        </is>
      </c>
      <c r="I16" t="n">
        <v>0.6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Bombmurkla</t>
        </is>
      </c>
      <c r="W16">
        <f>HYPERLINK("https://klasma.github.io/Logging_0305/artfynd/S 3579-2023 artfynd.xlsx", "S 3579-2023")</f>
        <v/>
      </c>
      <c r="X16">
        <f>HYPERLINK("https://klasma.github.io/Logging_0305/kartor/S 3579-2023 karta.png", "S 3579-2023")</f>
        <v/>
      </c>
      <c r="Y16">
        <f>HYPERLINK("https://klasma.github.io/Logging_0305/kartor_geotiff/S 3579-2023 georefererad karta.tif", "S 3579-2023")</f>
        <v/>
      </c>
      <c r="AA16">
        <f>HYPERLINK("https://klasma.github.io/Logging_0305/klagomål/S 3579-2023 FSC-klagomål.docx", "S 3579-2023")</f>
        <v/>
      </c>
      <c r="AB16">
        <f>HYPERLINK("https://klasma.github.io/Logging_0305/klagomålsmail/S 3579-2023 FSC-klagomål mail.docx", "S 3579-2023")</f>
        <v/>
      </c>
      <c r="AC16">
        <f>HYPERLINK("https://klasma.github.io/Logging_0305/tillsyn/S 3579-2023 tillsynsbegäran.docx", "S 3579-2023")</f>
        <v/>
      </c>
      <c r="AD16">
        <f>HYPERLINK("https://klasma.github.io/Logging_0305/tillsynsmail/S 3579-2023 tillsynsbegäran mail.docx", "S 3579-2023")</f>
        <v/>
      </c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46302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46302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46302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46302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46302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46302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46302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46302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46302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46302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45155</v>
      </c>
      <c r="E27" s="1" t="n">
        <v>46302</v>
      </c>
      <c r="F27" t="inlineStr">
        <is>
          <t>UPPSALA LÄN</t>
        </is>
      </c>
      <c r="G27" t="inlineStr">
        <is>
          <t>HÅBO</t>
        </is>
      </c>
      <c r="I27" t="n">
        <v>20.9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44998</v>
      </c>
      <c r="E28" s="1" t="n">
        <v>46302</v>
      </c>
      <c r="F28" t="inlineStr">
        <is>
          <t>UPPSALA LÄN</t>
        </is>
      </c>
      <c r="G28" t="inlineStr">
        <is>
          <t>HÅBO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46302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36934-2026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46302</v>
      </c>
      <c r="F30" t="inlineStr">
        <is>
          <t>UPPSALA LÄN</t>
        </is>
      </c>
      <c r="G30" t="inlineStr">
        <is>
          <t>HÅBO</t>
        </is>
      </c>
      <c r="H30" t="inlineStr">
        <is>
          <t>Kyrkan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34202-2022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44791</v>
      </c>
      <c r="E31" s="1" t="n">
        <v>46302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12154-2023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46302</v>
      </c>
      <c r="F32" t="inlineStr">
        <is>
          <t>UPPSALA LÄN</t>
        </is>
      </c>
      <c r="G32" t="inlineStr">
        <is>
          <t>HÅBO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2026-10-07T02:02:16Z</dcterms:created>
  <dcterms:modified xmlns:dcterms="http://purl.org/dc/terms/" xmlns:xsi="http://www.w3.org/2001/XMLSchema-instance" xsi:type="dcterms:W3CDTF">2026-10-07T02:02:16Z</dcterms:modified>
</cp:coreProperties>
</file>