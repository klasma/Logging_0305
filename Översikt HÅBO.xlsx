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6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2728-2023</t>
        </is>
      </c>
      <c r="B2" s="1" t="n">
        <v>44944</v>
      </c>
      <c r="C2" s="1" t="n">
        <v>45727</v>
      </c>
      <c r="D2" t="inlineStr">
        <is>
          <t>UPPSALA LÄN</t>
        </is>
      </c>
      <c r="E2" t="inlineStr">
        <is>
          <t>HÅBO</t>
        </is>
      </c>
      <c r="G2" t="n">
        <v>4.7</v>
      </c>
      <c r="H2" t="n">
        <v>2</v>
      </c>
      <c r="I2" t="n">
        <v>6</v>
      </c>
      <c r="J2" t="n">
        <v>1</v>
      </c>
      <c r="K2" t="n">
        <v>0</v>
      </c>
      <c r="L2" t="n">
        <v>0</v>
      </c>
      <c r="M2" t="n">
        <v>0</v>
      </c>
      <c r="N2" t="n">
        <v>0</v>
      </c>
      <c r="O2" t="n">
        <v>1</v>
      </c>
      <c r="P2" t="n">
        <v>0</v>
      </c>
      <c r="Q2" t="n">
        <v>9</v>
      </c>
      <c r="R2" s="2" t="inlineStr">
        <is>
          <t>Dofttaggsvamp
Anisspindling
Blåmossa
Fjällig taggsvamp s.str.
Källpraktmossa
Strimspindling
Svavelriska
Fläcknycklar
Nattviol</t>
        </is>
      </c>
      <c r="S2">
        <f>HYPERLINK("https://klasma.github.io/Logging_0305/artfynd/A 2728-2023 artfynd.xlsx", "A 2728-2023")</f>
        <v/>
      </c>
      <c r="T2">
        <f>HYPERLINK("https://klasma.github.io/Logging_0305/kartor/A 2728-2023 karta.png", "A 2728-2023")</f>
        <v/>
      </c>
      <c r="V2">
        <f>HYPERLINK("https://klasma.github.io/Logging_0305/klagomål/A 2728-2023 FSC-klagomål.docx", "A 2728-2023")</f>
        <v/>
      </c>
      <c r="W2">
        <f>HYPERLINK("https://klasma.github.io/Logging_0305/klagomålsmail/A 2728-2023 FSC-klagomål mail.docx", "A 2728-2023")</f>
        <v/>
      </c>
      <c r="X2">
        <f>HYPERLINK("https://klasma.github.io/Logging_0305/tillsyn/A 2728-2023 tillsynsbegäran.docx", "A 2728-2023")</f>
        <v/>
      </c>
      <c r="Y2">
        <f>HYPERLINK("https://klasma.github.io/Logging_0305/tillsynsmail/A 2728-2023 tillsynsbegäran mail.docx", "A 2728-2023")</f>
        <v/>
      </c>
    </row>
    <row r="3" ht="15" customHeight="1">
      <c r="A3" t="inlineStr">
        <is>
          <t>A 16618-2024</t>
        </is>
      </c>
      <c r="B3" s="1" t="n">
        <v>45408</v>
      </c>
      <c r="C3" s="1" t="n">
        <v>45727</v>
      </c>
      <c r="D3" t="inlineStr">
        <is>
          <t>UPPSALA LÄN</t>
        </is>
      </c>
      <c r="E3" t="inlineStr">
        <is>
          <t>HÅBO</t>
        </is>
      </c>
      <c r="G3" t="n">
        <v>3.5</v>
      </c>
      <c r="H3" t="n">
        <v>2</v>
      </c>
      <c r="I3" t="n">
        <v>1</v>
      </c>
      <c r="J3" t="n">
        <v>1</v>
      </c>
      <c r="K3" t="n">
        <v>0</v>
      </c>
      <c r="L3" t="n">
        <v>1</v>
      </c>
      <c r="M3" t="n">
        <v>0</v>
      </c>
      <c r="N3" t="n">
        <v>0</v>
      </c>
      <c r="O3" t="n">
        <v>2</v>
      </c>
      <c r="P3" t="n">
        <v>1</v>
      </c>
      <c r="Q3" t="n">
        <v>4</v>
      </c>
      <c r="R3" s="2" t="inlineStr">
        <is>
          <t>Prakttagging
Backklöver
Nästrot
Blåsippa</t>
        </is>
      </c>
      <c r="S3">
        <f>HYPERLINK("https://klasma.github.io/Logging_0305/artfynd/A 16618-2024 artfynd.xlsx", "A 16618-2024")</f>
        <v/>
      </c>
      <c r="T3">
        <f>HYPERLINK("https://klasma.github.io/Logging_0305/kartor/A 16618-2024 karta.png", "A 16618-2024")</f>
        <v/>
      </c>
      <c r="V3">
        <f>HYPERLINK("https://klasma.github.io/Logging_0305/klagomål/A 16618-2024 FSC-klagomål.docx", "A 16618-2024")</f>
        <v/>
      </c>
      <c r="W3">
        <f>HYPERLINK("https://klasma.github.io/Logging_0305/klagomålsmail/A 16618-2024 FSC-klagomål mail.docx", "A 16618-2024")</f>
        <v/>
      </c>
      <c r="X3">
        <f>HYPERLINK("https://klasma.github.io/Logging_0305/tillsyn/A 16618-2024 tillsynsbegäran.docx", "A 16618-2024")</f>
        <v/>
      </c>
      <c r="Y3">
        <f>HYPERLINK("https://klasma.github.io/Logging_0305/tillsynsmail/A 16618-2024 tillsynsbegäran mail.docx", "A 16618-2024")</f>
        <v/>
      </c>
    </row>
    <row r="4" ht="15" customHeight="1">
      <c r="A4" t="inlineStr">
        <is>
          <t>A 39917-2023</t>
        </is>
      </c>
      <c r="B4" s="1" t="n">
        <v>45166</v>
      </c>
      <c r="C4" s="1" t="n">
        <v>45727</v>
      </c>
      <c r="D4" t="inlineStr">
        <is>
          <t>UPPSALA LÄN</t>
        </is>
      </c>
      <c r="E4" t="inlineStr">
        <is>
          <t>HÅBO</t>
        </is>
      </c>
      <c r="G4" t="n">
        <v>3.6</v>
      </c>
      <c r="H4" t="n">
        <v>0</v>
      </c>
      <c r="I4" t="n">
        <v>2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3</v>
      </c>
      <c r="R4" s="2" t="inlineStr">
        <is>
          <t>Oxtungssvamp
Kryddspindling
Strimspindling</t>
        </is>
      </c>
      <c r="S4">
        <f>HYPERLINK("https://klasma.github.io/Logging_0305/artfynd/A 39917-2023 artfynd.xlsx", "A 39917-2023")</f>
        <v/>
      </c>
      <c r="T4">
        <f>HYPERLINK("https://klasma.github.io/Logging_0305/kartor/A 39917-2023 karta.png", "A 39917-2023")</f>
        <v/>
      </c>
      <c r="V4">
        <f>HYPERLINK("https://klasma.github.io/Logging_0305/klagomål/A 39917-2023 FSC-klagomål.docx", "A 39917-2023")</f>
        <v/>
      </c>
      <c r="W4">
        <f>HYPERLINK("https://klasma.github.io/Logging_0305/klagomålsmail/A 39917-2023 FSC-klagomål mail.docx", "A 39917-2023")</f>
        <v/>
      </c>
      <c r="X4">
        <f>HYPERLINK("https://klasma.github.io/Logging_0305/tillsyn/A 39917-2023 tillsynsbegäran.docx", "A 39917-2023")</f>
        <v/>
      </c>
      <c r="Y4">
        <f>HYPERLINK("https://klasma.github.io/Logging_0305/tillsynsmail/A 39917-2023 tillsynsbegäran mail.docx", "A 39917-2023")</f>
        <v/>
      </c>
    </row>
    <row r="5" ht="15" customHeight="1">
      <c r="A5" t="inlineStr">
        <is>
          <t>A 47653-2024</t>
        </is>
      </c>
      <c r="B5" s="1" t="n">
        <v>45588</v>
      </c>
      <c r="C5" s="1" t="n">
        <v>45727</v>
      </c>
      <c r="D5" t="inlineStr">
        <is>
          <t>UPPSALA LÄN</t>
        </is>
      </c>
      <c r="E5" t="inlineStr">
        <is>
          <t>HÅBO</t>
        </is>
      </c>
      <c r="G5" t="n">
        <v>3</v>
      </c>
      <c r="H5" t="n">
        <v>2</v>
      </c>
      <c r="I5" t="n">
        <v>1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3</v>
      </c>
      <c r="R5" s="2" t="inlineStr">
        <is>
          <t>Backklöver
Nästrot
Blåsippa</t>
        </is>
      </c>
      <c r="S5">
        <f>HYPERLINK("https://klasma.github.io/Logging_0305/artfynd/A 47653-2024 artfynd.xlsx", "A 47653-2024")</f>
        <v/>
      </c>
      <c r="T5">
        <f>HYPERLINK("https://klasma.github.io/Logging_0305/kartor/A 47653-2024 karta.png", "A 47653-2024")</f>
        <v/>
      </c>
      <c r="V5">
        <f>HYPERLINK("https://klasma.github.io/Logging_0305/klagomål/A 47653-2024 FSC-klagomål.docx", "A 47653-2024")</f>
        <v/>
      </c>
      <c r="W5">
        <f>HYPERLINK("https://klasma.github.io/Logging_0305/klagomålsmail/A 47653-2024 FSC-klagomål mail.docx", "A 47653-2024")</f>
        <v/>
      </c>
      <c r="X5">
        <f>HYPERLINK("https://klasma.github.io/Logging_0305/tillsyn/A 47653-2024 tillsynsbegäran.docx", "A 47653-2024")</f>
        <v/>
      </c>
      <c r="Y5">
        <f>HYPERLINK("https://klasma.github.io/Logging_0305/tillsynsmail/A 47653-2024 tillsynsbegäran mail.docx", "A 47653-2024")</f>
        <v/>
      </c>
    </row>
    <row r="6" ht="15" customHeight="1">
      <c r="A6" t="inlineStr">
        <is>
          <t>A 53716-2020</t>
        </is>
      </c>
      <c r="B6" s="1" t="n">
        <v>44124</v>
      </c>
      <c r="C6" s="1" t="n">
        <v>45727</v>
      </c>
      <c r="D6" t="inlineStr">
        <is>
          <t>UPPSALA LÄN</t>
        </is>
      </c>
      <c r="E6" t="inlineStr">
        <is>
          <t>HÅBO</t>
        </is>
      </c>
      <c r="F6" t="inlineStr">
        <is>
          <t>Kommuner</t>
        </is>
      </c>
      <c r="G6" t="n">
        <v>16.7</v>
      </c>
      <c r="H6" t="n">
        <v>0</v>
      </c>
      <c r="I6" t="n">
        <v>1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2</v>
      </c>
      <c r="R6" s="2" t="inlineStr">
        <is>
          <t>Ullticka
Blåmossa</t>
        </is>
      </c>
      <c r="S6">
        <f>HYPERLINK("https://klasma.github.io/Logging_0305/artfynd/A 53716-2020 artfynd.xlsx", "A 53716-2020")</f>
        <v/>
      </c>
      <c r="T6">
        <f>HYPERLINK("https://klasma.github.io/Logging_0305/kartor/A 53716-2020 karta.png", "A 53716-2020")</f>
        <v/>
      </c>
      <c r="V6">
        <f>HYPERLINK("https://klasma.github.io/Logging_0305/klagomål/A 53716-2020 FSC-klagomål.docx", "A 53716-2020")</f>
        <v/>
      </c>
      <c r="W6">
        <f>HYPERLINK("https://klasma.github.io/Logging_0305/klagomålsmail/A 53716-2020 FSC-klagomål mail.docx", "A 53716-2020")</f>
        <v/>
      </c>
      <c r="X6">
        <f>HYPERLINK("https://klasma.github.io/Logging_0305/tillsyn/A 53716-2020 tillsynsbegäran.docx", "A 53716-2020")</f>
        <v/>
      </c>
      <c r="Y6">
        <f>HYPERLINK("https://klasma.github.io/Logging_0305/tillsynsmail/A 53716-2020 tillsynsbegäran mail.docx", "A 53716-2020")</f>
        <v/>
      </c>
    </row>
    <row r="7" ht="15" customHeight="1">
      <c r="A7" t="inlineStr">
        <is>
          <t>A 23303-2022</t>
        </is>
      </c>
      <c r="B7" s="1" t="n">
        <v>44719</v>
      </c>
      <c r="C7" s="1" t="n">
        <v>45727</v>
      </c>
      <c r="D7" t="inlineStr">
        <is>
          <t>UPPSALA LÄN</t>
        </is>
      </c>
      <c r="E7" t="inlineStr">
        <is>
          <t>HÅBO</t>
        </is>
      </c>
      <c r="F7" t="inlineStr">
        <is>
          <t>Naturvårdsverket</t>
        </is>
      </c>
      <c r="G7" t="n">
        <v>2</v>
      </c>
      <c r="H7" t="n">
        <v>2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2</v>
      </c>
      <c r="R7" s="2" t="inlineStr">
        <is>
          <t>Mindre hackspett
Blåsippa</t>
        </is>
      </c>
      <c r="S7">
        <f>HYPERLINK("https://klasma.github.io/Logging_0305/artfynd/A 23303-2022 artfynd.xlsx", "A 23303-2022")</f>
        <v/>
      </c>
      <c r="T7">
        <f>HYPERLINK("https://klasma.github.io/Logging_0305/kartor/A 23303-2022 karta.png", "A 23303-2022")</f>
        <v/>
      </c>
      <c r="V7">
        <f>HYPERLINK("https://klasma.github.io/Logging_0305/klagomål/A 23303-2022 FSC-klagomål.docx", "A 23303-2022")</f>
        <v/>
      </c>
      <c r="W7">
        <f>HYPERLINK("https://klasma.github.io/Logging_0305/klagomålsmail/A 23303-2022 FSC-klagomål mail.docx", "A 23303-2022")</f>
        <v/>
      </c>
      <c r="X7">
        <f>HYPERLINK("https://klasma.github.io/Logging_0305/tillsyn/A 23303-2022 tillsynsbegäran.docx", "A 23303-2022")</f>
        <v/>
      </c>
      <c r="Y7">
        <f>HYPERLINK("https://klasma.github.io/Logging_0305/tillsynsmail/A 23303-2022 tillsynsbegäran mail.docx", "A 23303-2022")</f>
        <v/>
      </c>
      <c r="Z7">
        <f>HYPERLINK("https://klasma.github.io/Logging_0305/fåglar/A 23303-2022 prioriterade fågelarter.docx", "A 23303-2022")</f>
        <v/>
      </c>
    </row>
    <row r="8" ht="15" customHeight="1">
      <c r="A8" t="inlineStr">
        <is>
          <t>A 2474-2021</t>
        </is>
      </c>
      <c r="B8" s="1" t="n">
        <v>44214</v>
      </c>
      <c r="C8" s="1" t="n">
        <v>45727</v>
      </c>
      <c r="D8" t="inlineStr">
        <is>
          <t>UPPSALA LÄN</t>
        </is>
      </c>
      <c r="E8" t="inlineStr">
        <is>
          <t>HÅBO</t>
        </is>
      </c>
      <c r="G8" t="n">
        <v>3.4</v>
      </c>
      <c r="H8" t="n">
        <v>0</v>
      </c>
      <c r="I8" t="n">
        <v>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1</v>
      </c>
      <c r="R8" s="2" t="inlineStr">
        <is>
          <t>Fyrflikig jordstjärna</t>
        </is>
      </c>
      <c r="S8">
        <f>HYPERLINK("https://klasma.github.io/Logging_0305/artfynd/A 2474-2021 artfynd.xlsx", "A 2474-2021")</f>
        <v/>
      </c>
      <c r="T8">
        <f>HYPERLINK("https://klasma.github.io/Logging_0305/kartor/A 2474-2021 karta.png", "A 2474-2021")</f>
        <v/>
      </c>
      <c r="V8">
        <f>HYPERLINK("https://klasma.github.io/Logging_0305/klagomål/A 2474-2021 FSC-klagomål.docx", "A 2474-2021")</f>
        <v/>
      </c>
      <c r="W8">
        <f>HYPERLINK("https://klasma.github.io/Logging_0305/klagomålsmail/A 2474-2021 FSC-klagomål mail.docx", "A 2474-2021")</f>
        <v/>
      </c>
      <c r="X8">
        <f>HYPERLINK("https://klasma.github.io/Logging_0305/tillsyn/A 2474-2021 tillsynsbegäran.docx", "A 2474-2021")</f>
        <v/>
      </c>
      <c r="Y8">
        <f>HYPERLINK("https://klasma.github.io/Logging_0305/tillsynsmail/A 2474-2021 tillsynsbegäran mail.docx", "A 2474-2021")</f>
        <v/>
      </c>
    </row>
    <row r="9" ht="15" customHeight="1">
      <c r="A9" t="inlineStr">
        <is>
          <t>A 5714-2021</t>
        </is>
      </c>
      <c r="B9" s="1" t="n">
        <v>44230</v>
      </c>
      <c r="C9" s="1" t="n">
        <v>45727</v>
      </c>
      <c r="D9" t="inlineStr">
        <is>
          <t>UPPSALA LÄN</t>
        </is>
      </c>
      <c r="E9" t="inlineStr">
        <is>
          <t>HÅBO</t>
        </is>
      </c>
      <c r="F9" t="inlineStr">
        <is>
          <t>Kommuner</t>
        </is>
      </c>
      <c r="G9" t="n">
        <v>2.2</v>
      </c>
      <c r="H9" t="n">
        <v>1</v>
      </c>
      <c r="I9" t="n">
        <v>1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Nästrot</t>
        </is>
      </c>
      <c r="S9">
        <f>HYPERLINK("https://klasma.github.io/Logging_0305/artfynd/A 5714-2021 artfynd.xlsx", "A 5714-2021")</f>
        <v/>
      </c>
      <c r="T9">
        <f>HYPERLINK("https://klasma.github.io/Logging_0305/kartor/A 5714-2021 karta.png", "A 5714-2021")</f>
        <v/>
      </c>
      <c r="V9">
        <f>HYPERLINK("https://klasma.github.io/Logging_0305/klagomål/A 5714-2021 FSC-klagomål.docx", "A 5714-2021")</f>
        <v/>
      </c>
      <c r="W9">
        <f>HYPERLINK("https://klasma.github.io/Logging_0305/klagomålsmail/A 5714-2021 FSC-klagomål mail.docx", "A 5714-2021")</f>
        <v/>
      </c>
      <c r="X9">
        <f>HYPERLINK("https://klasma.github.io/Logging_0305/tillsyn/A 5714-2021 tillsynsbegäran.docx", "A 5714-2021")</f>
        <v/>
      </c>
      <c r="Y9">
        <f>HYPERLINK("https://klasma.github.io/Logging_0305/tillsynsmail/A 5714-2021 tillsynsbegäran mail.docx", "A 5714-2021")</f>
        <v/>
      </c>
    </row>
    <row r="10" ht="15" customHeight="1">
      <c r="A10" t="inlineStr">
        <is>
          <t>A 7946-2021</t>
        </is>
      </c>
      <c r="B10" s="1" t="n">
        <v>44242</v>
      </c>
      <c r="C10" s="1" t="n">
        <v>45727</v>
      </c>
      <c r="D10" t="inlineStr">
        <is>
          <t>UPPSALA LÄN</t>
        </is>
      </c>
      <c r="E10" t="inlineStr">
        <is>
          <t>HÅBO</t>
        </is>
      </c>
      <c r="G10" t="n">
        <v>6.7</v>
      </c>
      <c r="H10" t="n">
        <v>1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Kopparödla</t>
        </is>
      </c>
      <c r="S10">
        <f>HYPERLINK("https://klasma.github.io/Logging_0305/artfynd/A 7946-2021 artfynd.xlsx", "A 7946-2021")</f>
        <v/>
      </c>
      <c r="T10">
        <f>HYPERLINK("https://klasma.github.io/Logging_0305/kartor/A 7946-2021 karta.png", "A 7946-2021")</f>
        <v/>
      </c>
      <c r="V10">
        <f>HYPERLINK("https://klasma.github.io/Logging_0305/klagomål/A 7946-2021 FSC-klagomål.docx", "A 7946-2021")</f>
        <v/>
      </c>
      <c r="W10">
        <f>HYPERLINK("https://klasma.github.io/Logging_0305/klagomålsmail/A 7946-2021 FSC-klagomål mail.docx", "A 7946-2021")</f>
        <v/>
      </c>
      <c r="X10">
        <f>HYPERLINK("https://klasma.github.io/Logging_0305/tillsyn/A 7946-2021 tillsynsbegäran.docx", "A 7946-2021")</f>
        <v/>
      </c>
      <c r="Y10">
        <f>HYPERLINK("https://klasma.github.io/Logging_0305/tillsynsmail/A 7946-2021 tillsynsbegäran mail.docx", "A 7946-2021")</f>
        <v/>
      </c>
    </row>
    <row r="11" ht="15" customHeight="1">
      <c r="A11" t="inlineStr">
        <is>
          <t>A 47425-2022</t>
        </is>
      </c>
      <c r="B11" s="1" t="n">
        <v>44851</v>
      </c>
      <c r="C11" s="1" t="n">
        <v>45727</v>
      </c>
      <c r="D11" t="inlineStr">
        <is>
          <t>UPPSALA LÄN</t>
        </is>
      </c>
      <c r="E11" t="inlineStr">
        <is>
          <t>HÅBO</t>
        </is>
      </c>
      <c r="G11" t="n">
        <v>1.7</v>
      </c>
      <c r="H11" t="n">
        <v>0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Strimspindling</t>
        </is>
      </c>
      <c r="S11">
        <f>HYPERLINK("https://klasma.github.io/Logging_0305/artfynd/A 47425-2022 artfynd.xlsx", "A 47425-2022")</f>
        <v/>
      </c>
      <c r="T11">
        <f>HYPERLINK("https://klasma.github.io/Logging_0305/kartor/A 47425-2022 karta.png", "A 47425-2022")</f>
        <v/>
      </c>
      <c r="V11">
        <f>HYPERLINK("https://klasma.github.io/Logging_0305/klagomål/A 47425-2022 FSC-klagomål.docx", "A 47425-2022")</f>
        <v/>
      </c>
      <c r="W11">
        <f>HYPERLINK("https://klasma.github.io/Logging_0305/klagomålsmail/A 47425-2022 FSC-klagomål mail.docx", "A 47425-2022")</f>
        <v/>
      </c>
      <c r="X11">
        <f>HYPERLINK("https://klasma.github.io/Logging_0305/tillsyn/A 47425-2022 tillsynsbegäran.docx", "A 47425-2022")</f>
        <v/>
      </c>
      <c r="Y11">
        <f>HYPERLINK("https://klasma.github.io/Logging_0305/tillsynsmail/A 47425-2022 tillsynsbegäran mail.docx", "A 47425-2022")</f>
        <v/>
      </c>
    </row>
    <row r="12" ht="15" customHeight="1">
      <c r="A12" t="inlineStr">
        <is>
          <t>A 58676-2023</t>
        </is>
      </c>
      <c r="B12" s="1" t="n">
        <v>45247</v>
      </c>
      <c r="C12" s="1" t="n">
        <v>45727</v>
      </c>
      <c r="D12" t="inlineStr">
        <is>
          <t>UPPSALA LÄN</t>
        </is>
      </c>
      <c r="E12" t="inlineStr">
        <is>
          <t>HÅBO</t>
        </is>
      </c>
      <c r="G12" t="n">
        <v>3.7</v>
      </c>
      <c r="H12" t="n">
        <v>0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Trådticka</t>
        </is>
      </c>
      <c r="S12">
        <f>HYPERLINK("https://klasma.github.io/Logging_0305/artfynd/A 58676-2023 artfynd.xlsx", "A 58676-2023")</f>
        <v/>
      </c>
      <c r="T12">
        <f>HYPERLINK("https://klasma.github.io/Logging_0305/kartor/A 58676-2023 karta.png", "A 58676-2023")</f>
        <v/>
      </c>
      <c r="V12">
        <f>HYPERLINK("https://klasma.github.io/Logging_0305/klagomål/A 58676-2023 FSC-klagomål.docx", "A 58676-2023")</f>
        <v/>
      </c>
      <c r="W12">
        <f>HYPERLINK("https://klasma.github.io/Logging_0305/klagomålsmail/A 58676-2023 FSC-klagomål mail.docx", "A 58676-2023")</f>
        <v/>
      </c>
      <c r="X12">
        <f>HYPERLINK("https://klasma.github.io/Logging_0305/tillsyn/A 58676-2023 tillsynsbegäran.docx", "A 58676-2023")</f>
        <v/>
      </c>
      <c r="Y12">
        <f>HYPERLINK("https://klasma.github.io/Logging_0305/tillsynsmail/A 58676-2023 tillsynsbegäran mail.docx", "A 58676-2023")</f>
        <v/>
      </c>
    </row>
    <row r="13" ht="15" customHeight="1">
      <c r="A13" t="inlineStr">
        <is>
          <t>A 59160-2023</t>
        </is>
      </c>
      <c r="B13" s="1" t="n">
        <v>45253</v>
      </c>
      <c r="C13" s="1" t="n">
        <v>45727</v>
      </c>
      <c r="D13" t="inlineStr">
        <is>
          <t>UPPSALA LÄN</t>
        </is>
      </c>
      <c r="E13" t="inlineStr">
        <is>
          <t>HÅBO</t>
        </is>
      </c>
      <c r="G13" t="n">
        <v>2.9</v>
      </c>
      <c r="H13" t="n">
        <v>0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Kungsspindling</t>
        </is>
      </c>
      <c r="S13">
        <f>HYPERLINK("https://klasma.github.io/Logging_0305/artfynd/A 59160-2023 artfynd.xlsx", "A 59160-2023")</f>
        <v/>
      </c>
      <c r="T13">
        <f>HYPERLINK("https://klasma.github.io/Logging_0305/kartor/A 59160-2023 karta.png", "A 59160-2023")</f>
        <v/>
      </c>
      <c r="V13">
        <f>HYPERLINK("https://klasma.github.io/Logging_0305/klagomål/A 59160-2023 FSC-klagomål.docx", "A 59160-2023")</f>
        <v/>
      </c>
      <c r="W13">
        <f>HYPERLINK("https://klasma.github.io/Logging_0305/klagomålsmail/A 59160-2023 FSC-klagomål mail.docx", "A 59160-2023")</f>
        <v/>
      </c>
      <c r="X13">
        <f>HYPERLINK("https://klasma.github.io/Logging_0305/tillsyn/A 59160-2023 tillsynsbegäran.docx", "A 59160-2023")</f>
        <v/>
      </c>
      <c r="Y13">
        <f>HYPERLINK("https://klasma.github.io/Logging_0305/tillsynsmail/A 59160-2023 tillsynsbegäran mail.docx", "A 59160-2023")</f>
        <v/>
      </c>
    </row>
    <row r="14" ht="15" customHeight="1">
      <c r="A14" t="inlineStr">
        <is>
          <t>A 10227-2024</t>
        </is>
      </c>
      <c r="B14" s="1" t="n">
        <v>45365</v>
      </c>
      <c r="C14" s="1" t="n">
        <v>45727</v>
      </c>
      <c r="D14" t="inlineStr">
        <is>
          <t>UPPSALA LÄN</t>
        </is>
      </c>
      <c r="E14" t="inlineStr">
        <is>
          <t>HÅBO</t>
        </is>
      </c>
      <c r="G14" t="n">
        <v>14.9</v>
      </c>
      <c r="H14" t="n">
        <v>0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Svavelriska</t>
        </is>
      </c>
      <c r="S14">
        <f>HYPERLINK("https://klasma.github.io/Logging_0305/artfynd/A 10227-2024 artfynd.xlsx", "A 10227-2024")</f>
        <v/>
      </c>
      <c r="T14">
        <f>HYPERLINK("https://klasma.github.io/Logging_0305/kartor/A 10227-2024 karta.png", "A 10227-2024")</f>
        <v/>
      </c>
      <c r="V14">
        <f>HYPERLINK("https://klasma.github.io/Logging_0305/klagomål/A 10227-2024 FSC-klagomål.docx", "A 10227-2024")</f>
        <v/>
      </c>
      <c r="W14">
        <f>HYPERLINK("https://klasma.github.io/Logging_0305/klagomålsmail/A 10227-2024 FSC-klagomål mail.docx", "A 10227-2024")</f>
        <v/>
      </c>
      <c r="X14">
        <f>HYPERLINK("https://klasma.github.io/Logging_0305/tillsyn/A 10227-2024 tillsynsbegäran.docx", "A 10227-2024")</f>
        <v/>
      </c>
      <c r="Y14">
        <f>HYPERLINK("https://klasma.github.io/Logging_0305/tillsynsmail/A 10227-2024 tillsynsbegäran mail.docx", "A 10227-2024")</f>
        <v/>
      </c>
    </row>
    <row r="15" ht="15" customHeight="1">
      <c r="A15" t="inlineStr">
        <is>
          <t>A 53866-2024</t>
        </is>
      </c>
      <c r="B15" s="1" t="n">
        <v>45614</v>
      </c>
      <c r="C15" s="1" t="n">
        <v>45727</v>
      </c>
      <c r="D15" t="inlineStr">
        <is>
          <t>UPPSALA LÄN</t>
        </is>
      </c>
      <c r="E15" t="inlineStr">
        <is>
          <t>HÅBO</t>
        </is>
      </c>
      <c r="G15" t="n">
        <v>2.9</v>
      </c>
      <c r="H15" t="n">
        <v>1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Nattviol</t>
        </is>
      </c>
      <c r="S15">
        <f>HYPERLINK("https://klasma.github.io/Logging_0305/artfynd/A 53866-2024 artfynd.xlsx", "A 53866-2024")</f>
        <v/>
      </c>
      <c r="T15">
        <f>HYPERLINK("https://klasma.github.io/Logging_0305/kartor/A 53866-2024 karta.png", "A 53866-2024")</f>
        <v/>
      </c>
      <c r="V15">
        <f>HYPERLINK("https://klasma.github.io/Logging_0305/klagomål/A 53866-2024 FSC-klagomål.docx", "A 53866-2024")</f>
        <v/>
      </c>
      <c r="W15">
        <f>HYPERLINK("https://klasma.github.io/Logging_0305/klagomålsmail/A 53866-2024 FSC-klagomål mail.docx", "A 53866-2024")</f>
        <v/>
      </c>
      <c r="X15">
        <f>HYPERLINK("https://klasma.github.io/Logging_0305/tillsyn/A 53866-2024 tillsynsbegäran.docx", "A 53866-2024")</f>
        <v/>
      </c>
      <c r="Y15">
        <f>HYPERLINK("https://klasma.github.io/Logging_0305/tillsynsmail/A 53866-2024 tillsynsbegäran mail.docx", "A 53866-2024")</f>
        <v/>
      </c>
    </row>
    <row r="16" ht="15" customHeight="1">
      <c r="A16" t="inlineStr">
        <is>
          <t>A 18264-2019</t>
        </is>
      </c>
      <c r="B16" s="1" t="n">
        <v>43558</v>
      </c>
      <c r="C16" s="1" t="n">
        <v>45727</v>
      </c>
      <c r="D16" t="inlineStr">
        <is>
          <t>UPPSALA LÄN</t>
        </is>
      </c>
      <c r="E16" t="inlineStr">
        <is>
          <t>HÅBO</t>
        </is>
      </c>
      <c r="G16" t="n">
        <v>5.6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40148-2019</t>
        </is>
      </c>
      <c r="B17" s="1" t="n">
        <v>43684</v>
      </c>
      <c r="C17" s="1" t="n">
        <v>45727</v>
      </c>
      <c r="D17" t="inlineStr">
        <is>
          <t>UPPSALA LÄN</t>
        </is>
      </c>
      <c r="E17" t="inlineStr">
        <is>
          <t>HÅBO</t>
        </is>
      </c>
      <c r="G17" t="n">
        <v>1.5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49568-2019</t>
        </is>
      </c>
      <c r="B18" s="1" t="n">
        <v>43732</v>
      </c>
      <c r="C18" s="1" t="n">
        <v>45727</v>
      </c>
      <c r="D18" t="inlineStr">
        <is>
          <t>UPPSALA LÄN</t>
        </is>
      </c>
      <c r="E18" t="inlineStr">
        <is>
          <t>HÅBO</t>
        </is>
      </c>
      <c r="G18" t="n">
        <v>5.5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55876-2019</t>
        </is>
      </c>
      <c r="B19" s="1" t="n">
        <v>43759</v>
      </c>
      <c r="C19" s="1" t="n">
        <v>45727</v>
      </c>
      <c r="D19" t="inlineStr">
        <is>
          <t>UPPSALA LÄN</t>
        </is>
      </c>
      <c r="E19" t="inlineStr">
        <is>
          <t>HÅBO</t>
        </is>
      </c>
      <c r="G19" t="n">
        <v>5.4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59283-2019</t>
        </is>
      </c>
      <c r="B20" s="1" t="n">
        <v>43773</v>
      </c>
      <c r="C20" s="1" t="n">
        <v>45727</v>
      </c>
      <c r="D20" t="inlineStr">
        <is>
          <t>UPPSALA LÄN</t>
        </is>
      </c>
      <c r="E20" t="inlineStr">
        <is>
          <t>HÅBO</t>
        </is>
      </c>
      <c r="G20" t="n">
        <v>2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4265-2020</t>
        </is>
      </c>
      <c r="B21" s="1" t="n">
        <v>43847</v>
      </c>
      <c r="C21" s="1" t="n">
        <v>45727</v>
      </c>
      <c r="D21" t="inlineStr">
        <is>
          <t>UPPSALA LÄN</t>
        </is>
      </c>
      <c r="E21" t="inlineStr">
        <is>
          <t>HÅBO</t>
        </is>
      </c>
      <c r="F21" t="inlineStr">
        <is>
          <t>Övriga statliga verk och myndigheter</t>
        </is>
      </c>
      <c r="G21" t="n">
        <v>1.9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11281-2020</t>
        </is>
      </c>
      <c r="B22" s="1" t="n">
        <v>43892</v>
      </c>
      <c r="C22" s="1" t="n">
        <v>45727</v>
      </c>
      <c r="D22" t="inlineStr">
        <is>
          <t>UPPSALA LÄN</t>
        </is>
      </c>
      <c r="E22" t="inlineStr">
        <is>
          <t>HÅBO</t>
        </is>
      </c>
      <c r="G22" t="n">
        <v>1.3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13447-2020</t>
        </is>
      </c>
      <c r="B23" s="1" t="n">
        <v>43900</v>
      </c>
      <c r="C23" s="1" t="n">
        <v>45727</v>
      </c>
      <c r="D23" t="inlineStr">
        <is>
          <t>UPPSALA LÄN</t>
        </is>
      </c>
      <c r="E23" t="inlineStr">
        <is>
          <t>HÅBO</t>
        </is>
      </c>
      <c r="G23" t="n">
        <v>4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13582-2020</t>
        </is>
      </c>
      <c r="B24" s="1" t="n">
        <v>43901</v>
      </c>
      <c r="C24" s="1" t="n">
        <v>45727</v>
      </c>
      <c r="D24" t="inlineStr">
        <is>
          <t>UPPSALA LÄN</t>
        </is>
      </c>
      <c r="E24" t="inlineStr">
        <is>
          <t>HÅBO</t>
        </is>
      </c>
      <c r="G24" t="n">
        <v>2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21708-2020</t>
        </is>
      </c>
      <c r="B25" s="1" t="n">
        <v>43957</v>
      </c>
      <c r="C25" s="1" t="n">
        <v>45727</v>
      </c>
      <c r="D25" t="inlineStr">
        <is>
          <t>UPPSALA LÄN</t>
        </is>
      </c>
      <c r="E25" t="inlineStr">
        <is>
          <t>HÅBO</t>
        </is>
      </c>
      <c r="G25" t="n">
        <v>1.2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23906-2020</t>
        </is>
      </c>
      <c r="B26" s="1" t="n">
        <v>43971</v>
      </c>
      <c r="C26" s="1" t="n">
        <v>45727</v>
      </c>
      <c r="D26" t="inlineStr">
        <is>
          <t>UPPSALA LÄN</t>
        </is>
      </c>
      <c r="E26" t="inlineStr">
        <is>
          <t>HÅBO</t>
        </is>
      </c>
      <c r="G26" t="n">
        <v>0.7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34490-2020</t>
        </is>
      </c>
      <c r="B27" s="1" t="n">
        <v>44029</v>
      </c>
      <c r="C27" s="1" t="n">
        <v>45727</v>
      </c>
      <c r="D27" t="inlineStr">
        <is>
          <t>UPPSALA LÄN</t>
        </is>
      </c>
      <c r="E27" t="inlineStr">
        <is>
          <t>HÅBO</t>
        </is>
      </c>
      <c r="G27" t="n">
        <v>1.8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34497-2020</t>
        </is>
      </c>
      <c r="B28" s="1" t="n">
        <v>44033</v>
      </c>
      <c r="C28" s="1" t="n">
        <v>45727</v>
      </c>
      <c r="D28" t="inlineStr">
        <is>
          <t>UPPSALA LÄN</t>
        </is>
      </c>
      <c r="E28" t="inlineStr">
        <is>
          <t>HÅBO</t>
        </is>
      </c>
      <c r="G28" t="n">
        <v>3.1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57983-2020</t>
        </is>
      </c>
      <c r="B29" s="1" t="n">
        <v>44143</v>
      </c>
      <c r="C29" s="1" t="n">
        <v>45727</v>
      </c>
      <c r="D29" t="inlineStr">
        <is>
          <t>UPPSALA LÄN</t>
        </is>
      </c>
      <c r="E29" t="inlineStr">
        <is>
          <t>HÅBO</t>
        </is>
      </c>
      <c r="G29" t="n">
        <v>4.2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2476-2021</t>
        </is>
      </c>
      <c r="B30" s="1" t="n">
        <v>44214</v>
      </c>
      <c r="C30" s="1" t="n">
        <v>45727</v>
      </c>
      <c r="D30" t="inlineStr">
        <is>
          <t>UPPSALA LÄN</t>
        </is>
      </c>
      <c r="E30" t="inlineStr">
        <is>
          <t>HÅBO</t>
        </is>
      </c>
      <c r="G30" t="n">
        <v>2.8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2471-2021</t>
        </is>
      </c>
      <c r="B31" s="1" t="n">
        <v>44214</v>
      </c>
      <c r="C31" s="1" t="n">
        <v>45727</v>
      </c>
      <c r="D31" t="inlineStr">
        <is>
          <t>UPPSALA LÄN</t>
        </is>
      </c>
      <c r="E31" t="inlineStr">
        <is>
          <t>HÅBO</t>
        </is>
      </c>
      <c r="G31" t="n">
        <v>2.3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11729-2021</t>
        </is>
      </c>
      <c r="B32" s="1" t="n">
        <v>44265</v>
      </c>
      <c r="C32" s="1" t="n">
        <v>45727</v>
      </c>
      <c r="D32" t="inlineStr">
        <is>
          <t>UPPSALA LÄN</t>
        </is>
      </c>
      <c r="E32" t="inlineStr">
        <is>
          <t>HÅBO</t>
        </is>
      </c>
      <c r="G32" t="n">
        <v>4.1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11725-2021</t>
        </is>
      </c>
      <c r="B33" s="1" t="n">
        <v>44265</v>
      </c>
      <c r="C33" s="1" t="n">
        <v>45727</v>
      </c>
      <c r="D33" t="inlineStr">
        <is>
          <t>UPPSALA LÄN</t>
        </is>
      </c>
      <c r="E33" t="inlineStr">
        <is>
          <t>HÅBO</t>
        </is>
      </c>
      <c r="G33" t="n">
        <v>4.1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40256-2021</t>
        </is>
      </c>
      <c r="B34" s="1" t="n">
        <v>44419</v>
      </c>
      <c r="C34" s="1" t="n">
        <v>45727</v>
      </c>
      <c r="D34" t="inlineStr">
        <is>
          <t>UPPSALA LÄN</t>
        </is>
      </c>
      <c r="E34" t="inlineStr">
        <is>
          <t>HÅBO</t>
        </is>
      </c>
      <c r="G34" t="n">
        <v>1.4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54890-2021</t>
        </is>
      </c>
      <c r="B35" s="1" t="n">
        <v>44473</v>
      </c>
      <c r="C35" s="1" t="n">
        <v>45727</v>
      </c>
      <c r="D35" t="inlineStr">
        <is>
          <t>UPPSALA LÄN</t>
        </is>
      </c>
      <c r="E35" t="inlineStr">
        <is>
          <t>HÅBO</t>
        </is>
      </c>
      <c r="G35" t="n">
        <v>1.6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65836-2021</t>
        </is>
      </c>
      <c r="B36" s="1" t="n">
        <v>44517</v>
      </c>
      <c r="C36" s="1" t="n">
        <v>45727</v>
      </c>
      <c r="D36" t="inlineStr">
        <is>
          <t>UPPSALA LÄN</t>
        </is>
      </c>
      <c r="E36" t="inlineStr">
        <is>
          <t>HÅBO</t>
        </is>
      </c>
      <c r="G36" t="n">
        <v>1.8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67005-2021</t>
        </is>
      </c>
      <c r="B37" s="1" t="n">
        <v>44522</v>
      </c>
      <c r="C37" s="1" t="n">
        <v>45727</v>
      </c>
      <c r="D37" t="inlineStr">
        <is>
          <t>UPPSALA LÄN</t>
        </is>
      </c>
      <c r="E37" t="inlineStr">
        <is>
          <t>HÅBO</t>
        </is>
      </c>
      <c r="G37" t="n">
        <v>1.3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23250-2022</t>
        </is>
      </c>
      <c r="B38" s="1" t="n">
        <v>44719</v>
      </c>
      <c r="C38" s="1" t="n">
        <v>45727</v>
      </c>
      <c r="D38" t="inlineStr">
        <is>
          <t>UPPSALA LÄN</t>
        </is>
      </c>
      <c r="E38" t="inlineStr">
        <is>
          <t>HÅBO</t>
        </is>
      </c>
      <c r="F38" t="inlineStr">
        <is>
          <t>Naturvårdsverket</t>
        </is>
      </c>
      <c r="G38" t="n">
        <v>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34202-2022</t>
        </is>
      </c>
      <c r="B39" s="1" t="n">
        <v>44791</v>
      </c>
      <c r="C39" s="1" t="n">
        <v>45727</v>
      </c>
      <c r="D39" t="inlineStr">
        <is>
          <t>UPPSALA LÄN</t>
        </is>
      </c>
      <c r="E39" t="inlineStr">
        <is>
          <t>HÅBO</t>
        </is>
      </c>
      <c r="G39" t="n">
        <v>2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53770-2022</t>
        </is>
      </c>
      <c r="B40" s="1" t="n">
        <v>44875</v>
      </c>
      <c r="C40" s="1" t="n">
        <v>45727</v>
      </c>
      <c r="D40" t="inlineStr">
        <is>
          <t>UPPSALA LÄN</t>
        </is>
      </c>
      <c r="E40" t="inlineStr">
        <is>
          <t>HÅBO</t>
        </is>
      </c>
      <c r="F40" t="inlineStr">
        <is>
          <t>Allmännings- och besparingsskogar</t>
        </is>
      </c>
      <c r="G40" t="n">
        <v>3.1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56545-2022</t>
        </is>
      </c>
      <c r="B41" s="1" t="n">
        <v>44893</v>
      </c>
      <c r="C41" s="1" t="n">
        <v>45727</v>
      </c>
      <c r="D41" t="inlineStr">
        <is>
          <t>UPPSALA LÄN</t>
        </is>
      </c>
      <c r="E41" t="inlineStr">
        <is>
          <t>HÅBO</t>
        </is>
      </c>
      <c r="G41" t="n">
        <v>3.8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2670-2023</t>
        </is>
      </c>
      <c r="B42" s="1" t="n">
        <v>44944</v>
      </c>
      <c r="C42" s="1" t="n">
        <v>45727</v>
      </c>
      <c r="D42" t="inlineStr">
        <is>
          <t>UPPSALA LÄN</t>
        </is>
      </c>
      <c r="E42" t="inlineStr">
        <is>
          <t>HÅBO</t>
        </is>
      </c>
      <c r="G42" t="n">
        <v>1.1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2682-2023</t>
        </is>
      </c>
      <c r="B43" s="1" t="n">
        <v>44944</v>
      </c>
      <c r="C43" s="1" t="n">
        <v>45727</v>
      </c>
      <c r="D43" t="inlineStr">
        <is>
          <t>UPPSALA LÄN</t>
        </is>
      </c>
      <c r="E43" t="inlineStr">
        <is>
          <t>HÅBO</t>
        </is>
      </c>
      <c r="G43" t="n">
        <v>0.8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7074-2023</t>
        </is>
      </c>
      <c r="B44" s="1" t="n">
        <v>44970</v>
      </c>
      <c r="C44" s="1" t="n">
        <v>45727</v>
      </c>
      <c r="D44" t="inlineStr">
        <is>
          <t>UPPSALA LÄN</t>
        </is>
      </c>
      <c r="E44" t="inlineStr">
        <is>
          <t>HÅBO</t>
        </is>
      </c>
      <c r="G44" t="n">
        <v>2.3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12154-2023</t>
        </is>
      </c>
      <c r="B45" s="1" t="n">
        <v>44998</v>
      </c>
      <c r="C45" s="1" t="n">
        <v>45727</v>
      </c>
      <c r="D45" t="inlineStr">
        <is>
          <t>UPPSALA LÄN</t>
        </is>
      </c>
      <c r="E45" t="inlineStr">
        <is>
          <t>HÅBO</t>
        </is>
      </c>
      <c r="G45" t="n">
        <v>2.7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12146-2023</t>
        </is>
      </c>
      <c r="B46" s="1" t="n">
        <v>44998</v>
      </c>
      <c r="C46" s="1" t="n">
        <v>45727</v>
      </c>
      <c r="D46" t="inlineStr">
        <is>
          <t>UPPSALA LÄN</t>
        </is>
      </c>
      <c r="E46" t="inlineStr">
        <is>
          <t>HÅBO</t>
        </is>
      </c>
      <c r="G46" t="n">
        <v>3.1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12156-2023</t>
        </is>
      </c>
      <c r="B47" s="1" t="n">
        <v>44998</v>
      </c>
      <c r="C47" s="1" t="n">
        <v>45727</v>
      </c>
      <c r="D47" t="inlineStr">
        <is>
          <t>UPPSALA LÄN</t>
        </is>
      </c>
      <c r="E47" t="inlineStr">
        <is>
          <t>HÅBO</t>
        </is>
      </c>
      <c r="G47" t="n">
        <v>0.5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16299-2023</t>
        </is>
      </c>
      <c r="B48" s="1" t="n">
        <v>45028</v>
      </c>
      <c r="C48" s="1" t="n">
        <v>45727</v>
      </c>
      <c r="D48" t="inlineStr">
        <is>
          <t>UPPSALA LÄN</t>
        </is>
      </c>
      <c r="E48" t="inlineStr">
        <is>
          <t>HÅBO</t>
        </is>
      </c>
      <c r="G48" t="n">
        <v>2.1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32023-2023</t>
        </is>
      </c>
      <c r="B49" s="1" t="n">
        <v>45119</v>
      </c>
      <c r="C49" s="1" t="n">
        <v>45727</v>
      </c>
      <c r="D49" t="inlineStr">
        <is>
          <t>UPPSALA LÄN</t>
        </is>
      </c>
      <c r="E49" t="inlineStr">
        <is>
          <t>HÅBO</t>
        </is>
      </c>
      <c r="G49" t="n">
        <v>3.1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37417-2023</t>
        </is>
      </c>
      <c r="B50" s="1" t="n">
        <v>45155</v>
      </c>
      <c r="C50" s="1" t="n">
        <v>45727</v>
      </c>
      <c r="D50" t="inlineStr">
        <is>
          <t>UPPSALA LÄN</t>
        </is>
      </c>
      <c r="E50" t="inlineStr">
        <is>
          <t>HÅBO</t>
        </is>
      </c>
      <c r="G50" t="n">
        <v>12.9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37410-2023</t>
        </is>
      </c>
      <c r="B51" s="1" t="n">
        <v>45155</v>
      </c>
      <c r="C51" s="1" t="n">
        <v>45727</v>
      </c>
      <c r="D51" t="inlineStr">
        <is>
          <t>UPPSALA LÄN</t>
        </is>
      </c>
      <c r="E51" t="inlineStr">
        <is>
          <t>HÅBO</t>
        </is>
      </c>
      <c r="G51" t="n">
        <v>20.9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37415-2023</t>
        </is>
      </c>
      <c r="B52" s="1" t="n">
        <v>45155</v>
      </c>
      <c r="C52" s="1" t="n">
        <v>45727</v>
      </c>
      <c r="D52" t="inlineStr">
        <is>
          <t>UPPSALA LÄN</t>
        </is>
      </c>
      <c r="E52" t="inlineStr">
        <is>
          <t>HÅBO</t>
        </is>
      </c>
      <c r="G52" t="n">
        <v>6.6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55962-2023</t>
        </is>
      </c>
      <c r="B53" s="1" t="n">
        <v>45240</v>
      </c>
      <c r="C53" s="1" t="n">
        <v>45727</v>
      </c>
      <c r="D53" t="inlineStr">
        <is>
          <t>UPPSALA LÄN</t>
        </is>
      </c>
      <c r="E53" t="inlineStr">
        <is>
          <t>HÅBO</t>
        </is>
      </c>
      <c r="G53" t="n">
        <v>3.4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59169-2023</t>
        </is>
      </c>
      <c r="B54" s="1" t="n">
        <v>45251</v>
      </c>
      <c r="C54" s="1" t="n">
        <v>45727</v>
      </c>
      <c r="D54" t="inlineStr">
        <is>
          <t>UPPSALA LÄN</t>
        </is>
      </c>
      <c r="E54" t="inlineStr">
        <is>
          <t>HÅBO</t>
        </is>
      </c>
      <c r="G54" t="n">
        <v>4.5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63474-2023</t>
        </is>
      </c>
      <c r="B55" s="1" t="n">
        <v>45273</v>
      </c>
      <c r="C55" s="1" t="n">
        <v>45727</v>
      </c>
      <c r="D55" t="inlineStr">
        <is>
          <t>UPPSALA LÄN</t>
        </is>
      </c>
      <c r="E55" t="inlineStr">
        <is>
          <t>HÅBO</t>
        </is>
      </c>
      <c r="G55" t="n">
        <v>1.5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4521-2024</t>
        </is>
      </c>
      <c r="B56" s="1" t="n">
        <v>45327</v>
      </c>
      <c r="C56" s="1" t="n">
        <v>45727</v>
      </c>
      <c r="D56" t="inlineStr">
        <is>
          <t>UPPSALA LÄN</t>
        </is>
      </c>
      <c r="E56" t="inlineStr">
        <is>
          <t>HÅBO</t>
        </is>
      </c>
      <c r="G56" t="n">
        <v>17.4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4524-2024</t>
        </is>
      </c>
      <c r="B57" s="1" t="n">
        <v>45327</v>
      </c>
      <c r="C57" s="1" t="n">
        <v>45727</v>
      </c>
      <c r="D57" t="inlineStr">
        <is>
          <t>UPPSALA LÄN</t>
        </is>
      </c>
      <c r="E57" t="inlineStr">
        <is>
          <t>HÅBO</t>
        </is>
      </c>
      <c r="G57" t="n">
        <v>4.6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27603-2024</t>
        </is>
      </c>
      <c r="B58" s="1" t="n">
        <v>45474</v>
      </c>
      <c r="C58" s="1" t="n">
        <v>45727</v>
      </c>
      <c r="D58" t="inlineStr">
        <is>
          <t>UPPSALA LÄN</t>
        </is>
      </c>
      <c r="E58" t="inlineStr">
        <is>
          <t>HÅBO</t>
        </is>
      </c>
      <c r="G58" t="n">
        <v>2.9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27604-2024</t>
        </is>
      </c>
      <c r="B59" s="1" t="n">
        <v>45474</v>
      </c>
      <c r="C59" s="1" t="n">
        <v>45727</v>
      </c>
      <c r="D59" t="inlineStr">
        <is>
          <t>UPPSALA LÄN</t>
        </is>
      </c>
      <c r="E59" t="inlineStr">
        <is>
          <t>HÅBO</t>
        </is>
      </c>
      <c r="G59" t="n">
        <v>8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28608-2024</t>
        </is>
      </c>
      <c r="B60" s="1" t="n">
        <v>45478</v>
      </c>
      <c r="C60" s="1" t="n">
        <v>45727</v>
      </c>
      <c r="D60" t="inlineStr">
        <is>
          <t>UPPSALA LÄN</t>
        </is>
      </c>
      <c r="E60" t="inlineStr">
        <is>
          <t>HÅBO</t>
        </is>
      </c>
      <c r="G60" t="n">
        <v>3.3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30165-2024</t>
        </is>
      </c>
      <c r="B61" s="1" t="n">
        <v>45488</v>
      </c>
      <c r="C61" s="1" t="n">
        <v>45727</v>
      </c>
      <c r="D61" t="inlineStr">
        <is>
          <t>UPPSALA LÄN</t>
        </is>
      </c>
      <c r="E61" t="inlineStr">
        <is>
          <t>HÅBO</t>
        </is>
      </c>
      <c r="G61" t="n">
        <v>4.4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40377-2024</t>
        </is>
      </c>
      <c r="B62" s="1" t="n">
        <v>45555</v>
      </c>
      <c r="C62" s="1" t="n">
        <v>45727</v>
      </c>
      <c r="D62" t="inlineStr">
        <is>
          <t>UPPSALA LÄN</t>
        </is>
      </c>
      <c r="E62" t="inlineStr">
        <is>
          <t>HÅBO</t>
        </is>
      </c>
      <c r="G62" t="n">
        <v>0.6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40370-2024</t>
        </is>
      </c>
      <c r="B63" s="1" t="n">
        <v>45555</v>
      </c>
      <c r="C63" s="1" t="n">
        <v>45727</v>
      </c>
      <c r="D63" t="inlineStr">
        <is>
          <t>UPPSALA LÄN</t>
        </is>
      </c>
      <c r="E63" t="inlineStr">
        <is>
          <t>HÅBO</t>
        </is>
      </c>
      <c r="G63" t="n">
        <v>2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>
      <c r="A64" t="inlineStr">
        <is>
          <t>A 53859-2024</t>
        </is>
      </c>
      <c r="B64" s="1" t="n">
        <v>45614</v>
      </c>
      <c r="C64" s="1" t="n">
        <v>45727</v>
      </c>
      <c r="D64" t="inlineStr">
        <is>
          <t>UPPSALA LÄN</t>
        </is>
      </c>
      <c r="E64" t="inlineStr">
        <is>
          <t>HÅBO</t>
        </is>
      </c>
      <c r="G64" t="n">
        <v>1.4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2025-03-11T17:12:57Z</dcterms:created>
  <dcterms:modified xmlns:dcterms="http://purl.org/dc/terms/" xmlns:xsi="http://www.w3.org/2001/XMLSchema-instance" xsi:type="dcterms:W3CDTF">2025-03-11T17:12:57Z</dcterms:modified>
</cp:coreProperties>
</file>