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47653-2024</t>
        </is>
      </c>
      <c r="B2" s="1" t="n">
        <v>45588</v>
      </c>
      <c r="C2" s="1" t="n">
        <v>46202</v>
      </c>
      <c r="D2" t="inlineStr">
        <is>
          <t>UPPSALA LÄN</t>
        </is>
      </c>
      <c r="E2" t="inlineStr">
        <is>
          <t>HÅBO</t>
        </is>
      </c>
      <c r="G2" t="n">
        <v>3</v>
      </c>
      <c r="H2" t="n">
        <v>2</v>
      </c>
      <c r="I2" t="n">
        <v>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11</v>
      </c>
      <c r="R2" s="2" t="inlineStr">
        <is>
          <t>Prakttagging
Grå vedslidskivling
Slöjröksvamp
Backklöver
Mjölspindling
Saffransspindling
Bolmörtsskivling
Luktvaxing
Läderskål
Nästrot
Blåsippa</t>
        </is>
      </c>
      <c r="S2">
        <f>HYPERLINK("https://klasma.github.io/Logging_0305/artfynd/A 47653-2024 artfynd.xlsx", "A 47653-2024")</f>
        <v/>
      </c>
      <c r="T2">
        <f>HYPERLINK("https://klasma.github.io/Logging_0305/kartor/A 47653-2024 karta.png", "A 47653-2024")</f>
        <v/>
      </c>
      <c r="V2">
        <f>HYPERLINK("https://klasma.github.io/Logging_0305/klagomål/A 47653-2024 FSC-klagomål.docx", "A 47653-2024")</f>
        <v/>
      </c>
      <c r="W2">
        <f>HYPERLINK("https://klasma.github.io/Logging_0305/klagomålsmail/A 47653-2024 FSC-klagomål mail.docx", "A 47653-2024")</f>
        <v/>
      </c>
      <c r="X2">
        <f>HYPERLINK("https://klasma.github.io/Logging_0305/tillsyn/A 47653-2024 tillsynsbegäran.docx", "A 47653-2024")</f>
        <v/>
      </c>
      <c r="Y2">
        <f>HYPERLINK("https://klasma.github.io/Logging_0305/tillsynsmail/A 47653-2024 tillsynsbegäran mail.docx", "A 47653-2024")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46202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11</v>
      </c>
      <c r="R3" s="2" t="inlineStr">
        <is>
          <t>Prakttagging
Grå vedslidskivling
Slöjröksvamp
Backklöver
Mjölspindling
Saffransspindling
Bolmörtsskivling
Luktvaxing
Läderskål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22010-2025</t>
        </is>
      </c>
      <c r="B4" s="1" t="n">
        <v>45784</v>
      </c>
      <c r="C4" s="1" t="n">
        <v>46202</v>
      </c>
      <c r="D4" t="inlineStr">
        <is>
          <t>UPPSALA LÄN</t>
        </is>
      </c>
      <c r="E4" t="inlineStr">
        <is>
          <t>HÅBO</t>
        </is>
      </c>
      <c r="F4" t="inlineStr">
        <is>
          <t>Kyrkan</t>
        </is>
      </c>
      <c r="G4" t="n">
        <v>2.8</v>
      </c>
      <c r="H4" t="n">
        <v>1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Backsippa
Axveronika
Backtimjan
Flentimotej
Sminkrot
Vårärt</t>
        </is>
      </c>
      <c r="S4">
        <f>HYPERLINK("https://klasma.github.io/Logging_0305/artfynd/A 22010-2025 artfynd.xlsx", "A 22010-2025")</f>
        <v/>
      </c>
      <c r="T4">
        <f>HYPERLINK("https://klasma.github.io/Logging_0305/kartor/A 22010-2025 karta.png", "A 22010-2025")</f>
        <v/>
      </c>
      <c r="V4">
        <f>HYPERLINK("https://klasma.github.io/Logging_0305/klagomål/A 22010-2025 FSC-klagomål.docx", "A 22010-2025")</f>
        <v/>
      </c>
      <c r="W4">
        <f>HYPERLINK("https://klasma.github.io/Logging_0305/klagomålsmail/A 22010-2025 FSC-klagomål mail.docx", "A 22010-2025")</f>
        <v/>
      </c>
      <c r="X4">
        <f>HYPERLINK("https://klasma.github.io/Logging_0305/tillsyn/A 22010-2025 tillsynsbegäran.docx", "A 22010-2025")</f>
        <v/>
      </c>
      <c r="Y4">
        <f>HYPERLINK("https://klasma.github.io/Logging_0305/tillsynsmail/A 22010-2025 tillsynsbegäran mail.docx", "A 22010-2025")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46202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Ask
Fjällig taggsvamp s.str.
Talltita
Bronshjon
Lönnlav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46202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67005-2021</t>
        </is>
      </c>
      <c r="B7" s="1" t="n">
        <v>44522</v>
      </c>
      <c r="C7" s="1" t="n">
        <v>46202</v>
      </c>
      <c r="D7" t="inlineStr">
        <is>
          <t>UPPSALA LÄN</t>
        </is>
      </c>
      <c r="E7" t="inlineStr">
        <is>
          <t>HÅBO</t>
        </is>
      </c>
      <c r="G7" t="n">
        <v>1.3</v>
      </c>
      <c r="H7" t="n">
        <v>0</v>
      </c>
      <c r="I7" t="n">
        <v>1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Prakttagging
Gulvit blekspik
Lönnlav</t>
        </is>
      </c>
      <c r="S7">
        <f>HYPERLINK("https://klasma.github.io/Logging_0305/artfynd/A 67005-2021 artfynd.xlsx", "A 67005-2021")</f>
        <v/>
      </c>
      <c r="T7">
        <f>HYPERLINK("https://klasma.github.io/Logging_0305/kartor/A 67005-2021 karta.png", "A 67005-2021")</f>
        <v/>
      </c>
      <c r="V7">
        <f>HYPERLINK("https://klasma.github.io/Logging_0305/klagomål/A 67005-2021 FSC-klagomål.docx", "A 67005-2021")</f>
        <v/>
      </c>
      <c r="W7">
        <f>HYPERLINK("https://klasma.github.io/Logging_0305/klagomålsmail/A 67005-2021 FSC-klagomål mail.docx", "A 67005-2021")</f>
        <v/>
      </c>
      <c r="X7">
        <f>HYPERLINK("https://klasma.github.io/Logging_0305/tillsyn/A 67005-2021 tillsynsbegäran.docx", "A 67005-2021")</f>
        <v/>
      </c>
      <c r="Y7">
        <f>HYPERLINK("https://klasma.github.io/Logging_0305/tillsynsmail/A 67005-2021 tillsynsbegäran mail.docx", "A 67005-2021")</f>
        <v/>
      </c>
    </row>
    <row r="8" ht="15" customHeight="1">
      <c r="A8" t="inlineStr">
        <is>
          <t>A 35197-2025</t>
        </is>
      </c>
      <c r="B8" s="1" t="n">
        <v>45853</v>
      </c>
      <c r="C8" s="1" t="n">
        <v>46202</v>
      </c>
      <c r="D8" t="inlineStr">
        <is>
          <t>UPPSALA LÄN</t>
        </is>
      </c>
      <c r="E8" t="inlineStr">
        <is>
          <t>HÅBO</t>
        </is>
      </c>
      <c r="G8" t="n">
        <v>0.9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Grönsångare
Tallticka
Vintertagging</t>
        </is>
      </c>
      <c r="S8">
        <f>HYPERLINK("https://klasma.github.io/Logging_0305/artfynd/A 35197-2025 artfynd.xlsx", "A 35197-2025")</f>
        <v/>
      </c>
      <c r="T8">
        <f>HYPERLINK("https://klasma.github.io/Logging_0305/kartor/A 35197-2025 karta.png", "A 35197-2025")</f>
        <v/>
      </c>
      <c r="V8">
        <f>HYPERLINK("https://klasma.github.io/Logging_0305/klagomål/A 35197-2025 FSC-klagomål.docx", "A 35197-2025")</f>
        <v/>
      </c>
      <c r="W8">
        <f>HYPERLINK("https://klasma.github.io/Logging_0305/klagomålsmail/A 35197-2025 FSC-klagomål mail.docx", "A 35197-2025")</f>
        <v/>
      </c>
      <c r="X8">
        <f>HYPERLINK("https://klasma.github.io/Logging_0305/tillsyn/A 35197-2025 tillsynsbegäran.docx", "A 35197-2025")</f>
        <v/>
      </c>
      <c r="Y8">
        <f>HYPERLINK("https://klasma.github.io/Logging_0305/tillsynsmail/A 35197-2025 tillsynsbegäran mail.docx", "A 35197-2025")</f>
        <v/>
      </c>
      <c r="Z8">
        <f>HYPERLINK("https://klasma.github.io/Logging_0305/fåglar/A 35197-2025 prioriterade fågelarter.docx", "A 35197-2025")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46202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23250-2022</t>
        </is>
      </c>
      <c r="B10" s="1" t="n">
        <v>44719</v>
      </c>
      <c r="C10" s="1" t="n">
        <v>46202</v>
      </c>
      <c r="D10" t="inlineStr">
        <is>
          <t>UPPSALA LÄN</t>
        </is>
      </c>
      <c r="E10" t="inlineStr">
        <is>
          <t>HÅBO</t>
        </is>
      </c>
      <c r="F10" t="inlineStr">
        <is>
          <t>Naturvårdsverket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Rynkskinn</t>
        </is>
      </c>
      <c r="S10">
        <f>HYPERLINK("https://klasma.github.io/Logging_0305/artfynd/A 23250-2022 artfynd.xlsx", "A 23250-2022")</f>
        <v/>
      </c>
      <c r="T10">
        <f>HYPERLINK("https://klasma.github.io/Logging_0305/kartor/A 23250-2022 karta.png", "A 23250-2022")</f>
        <v/>
      </c>
      <c r="V10">
        <f>HYPERLINK("https://klasma.github.io/Logging_0305/klagomål/A 23250-2022 FSC-klagomål.docx", "A 23250-2022")</f>
        <v/>
      </c>
      <c r="W10">
        <f>HYPERLINK("https://klasma.github.io/Logging_0305/klagomålsmail/A 23250-2022 FSC-klagomål mail.docx", "A 23250-2022")</f>
        <v/>
      </c>
      <c r="X10">
        <f>HYPERLINK("https://klasma.github.io/Logging_0305/tillsyn/A 23250-2022 tillsynsbegäran.docx", "A 23250-2022")</f>
        <v/>
      </c>
      <c r="Y10">
        <f>HYPERLINK("https://klasma.github.io/Logging_0305/tillsynsmail/A 23250-2022 tillsynsbegäran mail.docx", "A 23250-2022")</f>
        <v/>
      </c>
    </row>
    <row r="11" ht="15" customHeight="1">
      <c r="A11" t="inlineStr">
        <is>
          <t>A 37415-2023</t>
        </is>
      </c>
      <c r="B11" s="1" t="n">
        <v>45155</v>
      </c>
      <c r="C11" s="1" t="n">
        <v>46202</v>
      </c>
      <c r="D11" t="inlineStr">
        <is>
          <t>UPPSALA LÄN</t>
        </is>
      </c>
      <c r="E11" t="inlineStr">
        <is>
          <t>HÅBO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HYPERLINK("https://klasma.github.io/Logging_0305/artfynd/A 37415-2023 artfynd.xlsx", "A 37415-2023")</f>
        <v/>
      </c>
      <c r="T11">
        <f>HYPERLINK("https://klasma.github.io/Logging_0305/kartor/A 37415-2023 karta.png", "A 37415-2023")</f>
        <v/>
      </c>
      <c r="V11">
        <f>HYPERLINK("https://klasma.github.io/Logging_0305/klagomål/A 37415-2023 FSC-klagomål.docx", "A 37415-2023")</f>
        <v/>
      </c>
      <c r="W11">
        <f>HYPERLINK("https://klasma.github.io/Logging_0305/klagomålsmail/A 37415-2023 FSC-klagomål mail.docx", "A 37415-2023")</f>
        <v/>
      </c>
      <c r="X11">
        <f>HYPERLINK("https://klasma.github.io/Logging_0305/tillsyn/A 37415-2023 tillsynsbegäran.docx", "A 37415-2023")</f>
        <v/>
      </c>
      <c r="Y11">
        <f>HYPERLINK("https://klasma.github.io/Logging_0305/tillsynsmail/A 37415-2023 tillsynsbegäran mail.docx", "A 37415-2023")</f>
        <v/>
      </c>
      <c r="Z11">
        <f>HYPERLINK("https://klasma.github.io/Logging_0305/fåglar/A 37415-2023 prioriterade fågelarter.docx", "A 37415-2023")</f>
        <v/>
      </c>
    </row>
    <row r="12" ht="15" customHeight="1">
      <c r="A12" t="inlineStr">
        <is>
          <t>A 55962-2023</t>
        </is>
      </c>
      <c r="B12" s="1" t="n">
        <v>45240</v>
      </c>
      <c r="C12" s="1" t="n">
        <v>46202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Bolmört</t>
        </is>
      </c>
      <c r="S12">
        <f>HYPERLINK("https://klasma.github.io/Logging_0305/artfynd/A 55962-2023 artfynd.xlsx", "A 55962-2023")</f>
        <v/>
      </c>
      <c r="T12">
        <f>HYPERLINK("https://klasma.github.io/Logging_0305/kartor/A 55962-2023 karta.png", "A 55962-2023")</f>
        <v/>
      </c>
      <c r="V12">
        <f>HYPERLINK("https://klasma.github.io/Logging_0305/klagomål/A 55962-2023 FSC-klagomål.docx", "A 55962-2023")</f>
        <v/>
      </c>
      <c r="W12">
        <f>HYPERLINK("https://klasma.github.io/Logging_0305/klagomålsmail/A 55962-2023 FSC-klagomål mail.docx", "A 55962-2023")</f>
        <v/>
      </c>
      <c r="X12">
        <f>HYPERLINK("https://klasma.github.io/Logging_0305/tillsyn/A 55962-2023 tillsynsbegäran.docx", "A 55962-2023")</f>
        <v/>
      </c>
      <c r="Y12">
        <f>HYPERLINK("https://klasma.github.io/Logging_0305/tillsynsmail/A 55962-2023 tillsynsbegäran mail.docx", "A 55962-2023")</f>
        <v/>
      </c>
    </row>
    <row r="13" ht="15" customHeight="1">
      <c r="A13" t="inlineStr">
        <is>
          <t>A 54890-2021</t>
        </is>
      </c>
      <c r="B13" s="1" t="n">
        <v>44473</v>
      </c>
      <c r="C13" s="1" t="n">
        <v>46202</v>
      </c>
      <c r="D13" t="inlineStr">
        <is>
          <t>UPPSALA LÄN</t>
        </is>
      </c>
      <c r="E13" t="inlineStr">
        <is>
          <t>HÅBO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12146-2023</t>
        </is>
      </c>
      <c r="B14" s="1" t="n">
        <v>44998</v>
      </c>
      <c r="C14" s="1" t="n">
        <v>46202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32023-2023</t>
        </is>
      </c>
      <c r="B15" s="1" t="n">
        <v>45119</v>
      </c>
      <c r="C15" s="1" t="n">
        <v>46202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4524-2024</t>
        </is>
      </c>
      <c r="B16" s="1" t="n">
        <v>45327</v>
      </c>
      <c r="C16" s="1" t="n">
        <v>46202</v>
      </c>
      <c r="D16" t="inlineStr">
        <is>
          <t>UPPSALA LÄN</t>
        </is>
      </c>
      <c r="E16" t="inlineStr">
        <is>
          <t>HÅBO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34202-2022</t>
        </is>
      </c>
      <c r="B17" s="1" t="n">
        <v>44791</v>
      </c>
      <c r="C17" s="1" t="n">
        <v>46202</v>
      </c>
      <c r="D17" t="inlineStr">
        <is>
          <t>UPPSALA LÄN</t>
        </is>
      </c>
      <c r="E17" t="inlineStr">
        <is>
          <t>HÅBO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37410-2023</t>
        </is>
      </c>
      <c r="B18" s="1" t="n">
        <v>45155</v>
      </c>
      <c r="C18" s="1" t="n">
        <v>46202</v>
      </c>
      <c r="D18" t="inlineStr">
        <is>
          <t>UPPSALA LÄN</t>
        </is>
      </c>
      <c r="E18" t="inlineStr">
        <is>
          <t>HÅBO</t>
        </is>
      </c>
      <c r="G18" t="n">
        <v>20.9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12154-2023</t>
        </is>
      </c>
      <c r="B19" s="1" t="n">
        <v>44998</v>
      </c>
      <c r="C19" s="1" t="n">
        <v>46202</v>
      </c>
      <c r="D19" t="inlineStr">
        <is>
          <t>UPPSALA LÄN</t>
        </is>
      </c>
      <c r="E19" t="inlineStr">
        <is>
          <t>HÅBO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12156-2023</t>
        </is>
      </c>
      <c r="B20" s="1" t="n">
        <v>44998</v>
      </c>
      <c r="C20" s="1" t="n">
        <v>46202</v>
      </c>
      <c r="D20" t="inlineStr">
        <is>
          <t>UPPSALA LÄN</t>
        </is>
      </c>
      <c r="E20" t="inlineStr">
        <is>
          <t>HÅBO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65836-2021</t>
        </is>
      </c>
      <c r="B21" s="1" t="n">
        <v>44517</v>
      </c>
      <c r="C21" s="1" t="n">
        <v>46202</v>
      </c>
      <c r="D21" t="inlineStr">
        <is>
          <t>UPPSALA LÄN</t>
        </is>
      </c>
      <c r="E21" t="inlineStr">
        <is>
          <t>HÅBO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8486-2026</t>
        </is>
      </c>
      <c r="B22" s="1" t="n">
        <v>46064</v>
      </c>
      <c r="C22" s="1" t="n">
        <v>46202</v>
      </c>
      <c r="D22" t="inlineStr">
        <is>
          <t>UPPSALA LÄN</t>
        </is>
      </c>
      <c r="E22" t="inlineStr">
        <is>
          <t>HÅBO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11997-2026</t>
        </is>
      </c>
      <c r="B23" s="1" t="n">
        <v>46085</v>
      </c>
      <c r="C23" s="1" t="n">
        <v>46202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15607-2026</t>
        </is>
      </c>
      <c r="B24" s="1" t="n">
        <v>46106</v>
      </c>
      <c r="C24" s="1" t="n">
        <v>46202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16404-2026</t>
        </is>
      </c>
      <c r="B25" s="1" t="n">
        <v>46111</v>
      </c>
      <c r="C25" s="1" t="n">
        <v>46202</v>
      </c>
      <c r="D25" t="inlineStr">
        <is>
          <t>UPPSALA LÄN</t>
        </is>
      </c>
      <c r="E25" t="inlineStr">
        <is>
          <t>HÅBO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16325-2026</t>
        </is>
      </c>
      <c r="B26" s="1" t="n">
        <v>46111</v>
      </c>
      <c r="C26" s="1" t="n">
        <v>46202</v>
      </c>
      <c r="D26" t="inlineStr">
        <is>
          <t>UPPSALA LÄN</t>
        </is>
      </c>
      <c r="E26" t="inlineStr">
        <is>
          <t>HÅBO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45406-2025</t>
        </is>
      </c>
      <c r="B27" s="1" t="n">
        <v>45922</v>
      </c>
      <c r="C27" s="1" t="n">
        <v>46202</v>
      </c>
      <c r="D27" t="inlineStr">
        <is>
          <t>UPPSALA LÄN</t>
        </is>
      </c>
      <c r="E27" t="inlineStr">
        <is>
          <t>HÅBO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35300-2025</t>
        </is>
      </c>
      <c r="B28" s="1" t="n">
        <v>45854</v>
      </c>
      <c r="C28" s="1" t="n">
        <v>46202</v>
      </c>
      <c r="D28" t="inlineStr">
        <is>
          <t>UPPSALA LÄN</t>
        </is>
      </c>
      <c r="E28" t="inlineStr">
        <is>
          <t>HÅBO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27484-2026</t>
        </is>
      </c>
      <c r="B29" s="1" t="n">
        <v>46185</v>
      </c>
      <c r="C29" s="1" t="n">
        <v>46202</v>
      </c>
      <c r="D29" t="inlineStr">
        <is>
          <t>UPPSALA LÄN</t>
        </is>
      </c>
      <c r="E29" t="inlineStr">
        <is>
          <t>HÅBO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2026-06-29T00:58:42Z</dcterms:created>
  <dcterms:modified xmlns:dcterms="http://purl.org/dc/terms/" xmlns:xsi="http://www.w3.org/2001/XMLSchema-instance" xsi:type="dcterms:W3CDTF">2026-06-29T00:58:42Z</dcterms:modified>
</cp:coreProperties>
</file>