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45922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45922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45922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45922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7946-2021</t>
        </is>
      </c>
      <c r="B8" s="1" t="n">
        <v>44242</v>
      </c>
      <c r="C8" s="1" t="n">
        <v>45922</v>
      </c>
      <c r="D8" t="inlineStr">
        <is>
          <t>UPPSALA LÄN</t>
        </is>
      </c>
      <c r="E8" t="inlineStr">
        <is>
          <t>HÅBO</t>
        </is>
      </c>
      <c r="G8" t="n">
        <v>6.7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Kopparödla</t>
        </is>
      </c>
      <c r="S8">
        <f>HYPERLINK("https://klasma.github.io/Logging_0305/artfynd/A 7946-2021 artfynd.xlsx", "A 7946-2021")</f>
        <v/>
      </c>
      <c r="T8">
        <f>HYPERLINK("https://klasma.github.io/Logging_0305/kartor/A 7946-2021 karta.png", "A 7946-2021")</f>
        <v/>
      </c>
      <c r="V8">
        <f>HYPERLINK("https://klasma.github.io/Logging_0305/klagomål/A 7946-2021 FSC-klagomål.docx", "A 7946-2021")</f>
        <v/>
      </c>
      <c r="W8">
        <f>HYPERLINK("https://klasma.github.io/Logging_0305/klagomålsmail/A 7946-2021 FSC-klagomål mail.docx", "A 7946-2021")</f>
        <v/>
      </c>
      <c r="X8">
        <f>HYPERLINK("https://klasma.github.io/Logging_0305/tillsyn/A 7946-2021 tillsynsbegäran.docx", "A 7946-2021")</f>
        <v/>
      </c>
      <c r="Y8">
        <f>HYPERLINK("https://klasma.github.io/Logging_0305/tillsynsmail/A 7946-2021 tillsynsbegäran mail.docx", "A 7946-2021")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45922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45922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45922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2471-2021</t>
        </is>
      </c>
      <c r="B12" s="1" t="n">
        <v>44214</v>
      </c>
      <c r="C12" s="1" t="n">
        <v>45922</v>
      </c>
      <c r="D12" t="inlineStr">
        <is>
          <t>UPPSALA LÄN</t>
        </is>
      </c>
      <c r="E12" t="inlineStr">
        <is>
          <t>HÅBO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54890-2021</t>
        </is>
      </c>
      <c r="B13" s="1" t="n">
        <v>44473</v>
      </c>
      <c r="C13" s="1" t="n">
        <v>45922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12154-2023</t>
        </is>
      </c>
      <c r="B14" s="1" t="n">
        <v>44998</v>
      </c>
      <c r="C14" s="1" t="n">
        <v>45922</v>
      </c>
      <c r="D14" t="inlineStr">
        <is>
          <t>UPPSALA LÄN</t>
        </is>
      </c>
      <c r="E14" t="inlineStr">
        <is>
          <t>HÅBO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67005-2021</t>
        </is>
      </c>
      <c r="B15" s="1" t="n">
        <v>44522</v>
      </c>
      <c r="C15" s="1" t="n">
        <v>45922</v>
      </c>
      <c r="D15" t="inlineStr">
        <is>
          <t>UPPSALA LÄN</t>
        </is>
      </c>
      <c r="E15" t="inlineStr">
        <is>
          <t>HÅBO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11989-2025</t>
        </is>
      </c>
      <c r="B16" s="1" t="n">
        <v>45728.60074074074</v>
      </c>
      <c r="C16" s="1" t="n">
        <v>45922</v>
      </c>
      <c r="D16" t="inlineStr">
        <is>
          <t>UPPSALA LÄN</t>
        </is>
      </c>
      <c r="E16" t="inlineStr">
        <is>
          <t>HÅBO</t>
        </is>
      </c>
      <c r="G16" t="n">
        <v>9.6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12146-2023</t>
        </is>
      </c>
      <c r="B17" s="1" t="n">
        <v>44998.47842592592</v>
      </c>
      <c r="C17" s="1" t="n">
        <v>45922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45922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4524-2024</t>
        </is>
      </c>
      <c r="B19" s="1" t="n">
        <v>45327</v>
      </c>
      <c r="C19" s="1" t="n">
        <v>45922</v>
      </c>
      <c r="D19" t="inlineStr">
        <is>
          <t>UPPSALA LÄN</t>
        </is>
      </c>
      <c r="E19" t="inlineStr">
        <is>
          <t>HÅBO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37410-2023</t>
        </is>
      </c>
      <c r="B20" s="1" t="n">
        <v>45155</v>
      </c>
      <c r="C20" s="1" t="n">
        <v>45922</v>
      </c>
      <c r="D20" t="inlineStr">
        <is>
          <t>UPPSALA LÄN</t>
        </is>
      </c>
      <c r="E20" t="inlineStr">
        <is>
          <t>HÅBO</t>
        </is>
      </c>
      <c r="G20" t="n">
        <v>20.9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45922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15732-2025</t>
        </is>
      </c>
      <c r="B22" s="1" t="n">
        <v>45747</v>
      </c>
      <c r="C22" s="1" t="n">
        <v>45922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45922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37415-2023</t>
        </is>
      </c>
      <c r="B24" s="1" t="n">
        <v>45155</v>
      </c>
      <c r="C24" s="1" t="n">
        <v>45922</v>
      </c>
      <c r="D24" t="inlineStr">
        <is>
          <t>UPPSALA LÄN</t>
        </is>
      </c>
      <c r="E24" t="inlineStr">
        <is>
          <t>HÅBO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55962-2023</t>
        </is>
      </c>
      <c r="B25" s="1" t="n">
        <v>45240</v>
      </c>
      <c r="C25" s="1" t="n">
        <v>45922</v>
      </c>
      <c r="D25" t="inlineStr">
        <is>
          <t>UPPSALA LÄN</t>
        </is>
      </c>
      <c r="E25" t="inlineStr">
        <is>
          <t>HÅBO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45922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35198-2025</t>
        </is>
      </c>
      <c r="B27" s="1" t="n">
        <v>45853</v>
      </c>
      <c r="C27" s="1" t="n">
        <v>45922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45854.41511574074</v>
      </c>
      <c r="C28" s="1" t="n">
        <v>45922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35193-2025</t>
        </is>
      </c>
      <c r="B29" s="1" t="n">
        <v>45853</v>
      </c>
      <c r="C29" s="1" t="n">
        <v>45922</v>
      </c>
      <c r="D29" t="inlineStr">
        <is>
          <t>UPPSALA LÄN</t>
        </is>
      </c>
      <c r="E29" t="inlineStr">
        <is>
          <t>HÅBO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22524-2025</t>
        </is>
      </c>
      <c r="B30" s="1" t="n">
        <v>45786.7316087963</v>
      </c>
      <c r="C30" s="1" t="n">
        <v>45922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34202-2022</t>
        </is>
      </c>
      <c r="B31" s="1" t="n">
        <v>44791.64837962963</v>
      </c>
      <c r="C31" s="1" t="n">
        <v>45922</v>
      </c>
      <c r="D31" t="inlineStr">
        <is>
          <t>UPPSALA LÄN</t>
        </is>
      </c>
      <c r="E31" t="inlineStr">
        <is>
          <t>HÅBO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22525-2025</t>
        </is>
      </c>
      <c r="B32" s="1" t="n">
        <v>45786.7617824074</v>
      </c>
      <c r="C32" s="1" t="n">
        <v>45922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45922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2025-09-22T20:26:10Z</dcterms:created>
  <dcterms:modified xmlns:dcterms="http://purl.org/dc/terms/" xmlns:xsi="http://www.w3.org/2001/XMLSchema-instance" xsi:type="dcterms:W3CDTF">2025-09-22T20:26:10Z</dcterms:modified>
</cp:coreProperties>
</file>